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working\2024\Zerodha\breeze_data_service\src\"/>
    </mc:Choice>
  </mc:AlternateContent>
  <bookViews>
    <workbookView xWindow="0" yWindow="0" windowWidth="20490" windowHeight="7755" activeTab="2"/>
  </bookViews>
  <sheets>
    <sheet name="LEARNINGS" sheetId="4" r:id="rId1"/>
    <sheet name="Sheet1" sheetId="1" r:id="rId2"/>
    <sheet name="trade" sheetId="2" r:id="rId3"/>
    <sheet name="Stocks to track" sheetId="3" r:id="rId4"/>
    <sheet name="Sheet2" sheetId="5" r:id="rId5"/>
  </sheets>
  <definedNames>
    <definedName name="_xlnm._FilterDatabase" localSheetId="1" hidden="1">Sheet1!$A$1:$K$48</definedName>
    <definedName name="_xlnm._FilterDatabase" localSheetId="2" hidden="1">trade!$A$1:$X$25</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22" i="5" l="1"/>
  <c r="D23" i="5"/>
  <c r="D24" i="5"/>
  <c r="K21" i="2"/>
  <c r="D21" i="5" l="1"/>
  <c r="D3" i="5"/>
  <c r="D4" i="5"/>
  <c r="D5" i="5"/>
  <c r="D6" i="5"/>
  <c r="D7" i="5"/>
  <c r="D8" i="5"/>
  <c r="D9" i="5"/>
  <c r="D10" i="5"/>
  <c r="D11" i="5"/>
  <c r="D12" i="5"/>
  <c r="D13" i="5"/>
  <c r="D14" i="5"/>
  <c r="D15" i="5"/>
  <c r="D16" i="5"/>
  <c r="D17" i="5"/>
  <c r="D18" i="5"/>
  <c r="D19" i="5"/>
  <c r="D20" i="5"/>
  <c r="D2" i="5"/>
  <c r="N20" i="2" l="1"/>
  <c r="J20" i="2"/>
  <c r="L20" i="2" s="1"/>
  <c r="M20" i="2" s="1"/>
  <c r="N19" i="2"/>
  <c r="J19" i="2"/>
  <c r="L19" i="2" s="1"/>
  <c r="M19" i="2" s="1"/>
  <c r="O18" i="2"/>
  <c r="N18" i="2"/>
  <c r="J18" i="2"/>
  <c r="L18" i="2" s="1"/>
  <c r="M18" i="2" s="1"/>
  <c r="S17" i="2"/>
  <c r="J17" i="2"/>
  <c r="L17" i="2" s="1"/>
  <c r="M17" i="2" s="1"/>
  <c r="N3" i="2"/>
  <c r="O3" i="2"/>
  <c r="N13" i="2"/>
  <c r="J16" i="2"/>
  <c r="L16" i="2" s="1"/>
  <c r="M16" i="2" s="1"/>
  <c r="S16" i="2"/>
  <c r="J15" i="2"/>
  <c r="L15" i="2" s="1"/>
  <c r="M15" i="2" s="1"/>
  <c r="S15" i="2"/>
  <c r="J14" i="2"/>
  <c r="L14" i="2" s="1"/>
  <c r="M14" i="2" s="1"/>
  <c r="S14" i="2"/>
  <c r="S13" i="2"/>
  <c r="J13" i="2"/>
  <c r="L13" i="2" s="1"/>
  <c r="J7" i="2"/>
  <c r="L7" i="2" s="1"/>
  <c r="M7" i="2" s="1"/>
  <c r="J12" i="2"/>
  <c r="L12" i="2" s="1"/>
  <c r="M12" i="2" s="1"/>
  <c r="S12" i="2"/>
  <c r="J11" i="2"/>
  <c r="L11" i="2" s="1"/>
  <c r="M11" i="2" s="1"/>
  <c r="S11" i="2"/>
  <c r="J9" i="2"/>
  <c r="L9" i="2" s="1"/>
  <c r="M9" i="2" s="1"/>
  <c r="J10" i="2"/>
  <c r="L10" i="2" s="1"/>
  <c r="M10" i="2" s="1"/>
  <c r="S10" i="2"/>
  <c r="S9" i="2"/>
  <c r="J8" i="2"/>
  <c r="L8" i="2" s="1"/>
  <c r="M8" i="2" s="1"/>
  <c r="S8" i="2"/>
  <c r="S7" i="2"/>
  <c r="S5" i="2"/>
  <c r="J6" i="2"/>
  <c r="L6" i="2" s="1"/>
  <c r="M6" i="2" s="1"/>
  <c r="S6" i="2"/>
  <c r="J5" i="2"/>
  <c r="L5" i="2" s="1"/>
  <c r="M5" i="2" s="1"/>
  <c r="M13" i="2" l="1"/>
  <c r="S4" i="2" l="1"/>
  <c r="S3" i="2"/>
  <c r="S2" i="2"/>
  <c r="K4" i="2" l="1"/>
  <c r="J4" i="2" s="1"/>
  <c r="L4" i="2" s="1"/>
  <c r="M4" i="2" s="1"/>
  <c r="K3" i="2"/>
  <c r="J3" i="2" s="1"/>
  <c r="K2" i="2"/>
  <c r="J2" i="2" s="1"/>
  <c r="L2" i="2" s="1"/>
  <c r="M2" i="2" s="1"/>
  <c r="L3" i="2" l="1"/>
  <c r="M3" i="2" s="1"/>
</calcChain>
</file>

<file path=xl/sharedStrings.xml><?xml version="1.0" encoding="utf-8"?>
<sst xmlns="http://schemas.openxmlformats.org/spreadsheetml/2006/main" count="320" uniqueCount="158">
  <si>
    <t>Adani Power</t>
  </si>
  <si>
    <t>Down Pressure, keep tracking hourly and daily volume delta. Great possiblity of reversal.</t>
  </si>
  <si>
    <t>close</t>
  </si>
  <si>
    <t>apollo hos</t>
  </si>
  <si>
    <t>cvd</t>
  </si>
  <si>
    <t>brittania</t>
  </si>
  <si>
    <t>if no downward one can enter trade. Only issue vwap gone down from start of day</t>
  </si>
  <si>
    <t>cipla</t>
  </si>
  <si>
    <t>godcon</t>
  </si>
  <si>
    <t>Long</t>
  </si>
  <si>
    <t>iciclom</t>
  </si>
  <si>
    <t>don't enter already high</t>
  </si>
  <si>
    <t>trent</t>
  </si>
  <si>
    <t>tvsmot</t>
  </si>
  <si>
    <t>qty</t>
  </si>
  <si>
    <t>Working Capital</t>
  </si>
  <si>
    <t>Max capital allocation</t>
  </si>
  <si>
    <t>Buy Price</t>
  </si>
  <si>
    <t>Market Price</t>
  </si>
  <si>
    <t>Profit/Loss</t>
  </si>
  <si>
    <t>buy/sell</t>
  </si>
  <si>
    <t>buy</t>
  </si>
  <si>
    <t>stop loss</t>
  </si>
  <si>
    <t>Commentary</t>
  </si>
  <si>
    <t>position</t>
  </si>
  <si>
    <t>open</t>
  </si>
  <si>
    <t>Paper Trade Date</t>
  </si>
  <si>
    <t>Today EOD</t>
  </si>
  <si>
    <t>percentage</t>
  </si>
  <si>
    <t>exit price</t>
  </si>
  <si>
    <t>31/10:  due to average result dclared and change in managemt price went down, however putting stop loss at 1520 to avoid too much loss on this trade
30/10: First hour price gone to 1561, vwap gone to 1566.87</t>
  </si>
  <si>
    <t>voltas</t>
  </si>
  <si>
    <t>tube investment of india</t>
  </si>
  <si>
    <t>Max Health</t>
  </si>
  <si>
    <t>mahindra and mahindra</t>
  </si>
  <si>
    <t>dr reddy</t>
  </si>
  <si>
    <t>dabur india</t>
  </si>
  <si>
    <t>31/10:  Feel not going to move much, stuck at 159. at 1pm price is now at 158
31/10: doesn't show too much promise, and in general news is also not for great uptrend, so will close position at 165.8 based on todays high</t>
  </si>
  <si>
    <t>coming down from 1211, result expectted on 4th Nov. So skip it</t>
  </si>
  <si>
    <t>Mahindra &amp; Mahindra</t>
  </si>
  <si>
    <t>coming down from 3625, nov 4th results</t>
  </si>
  <si>
    <t>sell</t>
  </si>
  <si>
    <t>since going down badly stop loss at 1520, should check the result events etxc</t>
  </si>
  <si>
    <t>closed</t>
  </si>
  <si>
    <t>1/11: Holding the price at 3487 not much down, selling pressure is limited</t>
  </si>
  <si>
    <t>Event</t>
  </si>
  <si>
    <t xml:space="preserve">because of regulatory news price declined, need to look at new balance </t>
  </si>
  <si>
    <t>Hero Honda</t>
  </si>
  <si>
    <t>Torrential Pharma</t>
  </si>
  <si>
    <t>3/11: vwap is at 380, at 390 selling has happened.??? Atr is at 60 can be ignored</t>
  </si>
  <si>
    <t>ITC Hotel</t>
  </si>
  <si>
    <t>bharat dynamics</t>
  </si>
  <si>
    <t>3/11: after one hour of traiding still vwap at 217.58 doesn't seem to have any trend</t>
  </si>
  <si>
    <t>exit date</t>
  </si>
  <si>
    <t>Closed</t>
  </si>
  <si>
    <r>
      <rPr>
        <b/>
        <sz val="11"/>
        <color rgb="FFFF0000"/>
        <rFont val="Calibri"/>
        <family val="2"/>
        <scheme val="minor"/>
      </rPr>
      <t>3/11: Missed the reversal as I din't observe change in momentum</t>
    </r>
    <r>
      <rPr>
        <sz val="11"/>
        <color theme="1"/>
        <rFont val="Calibri"/>
        <family val="2"/>
        <scheme val="minor"/>
      </rPr>
      <t xml:space="preserve">
strong downward pressure keep monitoring&gt;</t>
    </r>
  </si>
  <si>
    <t>--3/11: result is pending, not sure which direction so keeping out of it till result is announced. Result date is 7/11
don't enter already high</t>
  </si>
  <si>
    <t>3/11:  '--vwap 490 seeing reversal, hench entering at 490 3/11 12 pm</t>
  </si>
  <si>
    <t>event</t>
  </si>
  <si>
    <t>DON’T Track</t>
  </si>
  <si>
    <t>Aurionpro</t>
  </si>
  <si>
    <t>Data Center Companies</t>
  </si>
  <si>
    <t>Adani Enterprises</t>
  </si>
  <si>
    <t>AdaniConnex</t>
  </si>
  <si>
    <t>EdgeConnex</t>
  </si>
  <si>
    <t>Subsidiary</t>
  </si>
  <si>
    <t>L&amp;T</t>
  </si>
  <si>
    <t>ABB</t>
  </si>
  <si>
    <t>tata communications</t>
  </si>
  <si>
    <t>--3/11: vwap 490 seeing reversal, hench entering at 490 3/11 12 pm
'-- Inspite positive result, may be not as per analyst, price went down. Can look for reversal sign
Closed at 487.55 with VWAP 490, may go around 480.. Try see sign for reversal</t>
  </si>
  <si>
    <t>--3/11: Felt achieved target for more than 2 percent. So closed position. However vwap was as below
 0    490.00
1    490.04
2    490.41
3    490.90
4    492.44
5    492.92… lets see if it continues or is at peak</t>
  </si>
  <si>
    <t>4/11--&gt; though close price on 3/11 was 3043, however vwap was at 3032. And volume was also  low in upswing. Expecting it to move in range of 3030 before any trend
coming down from 3200 --&gt; 3044--&gt;3023</t>
  </si>
  <si>
    <t>Tracking</t>
  </si>
  <si>
    <t>--4/11.. 7781 just checked
strong downward pressure keep monitoring. 7858--&gt;7681  ( Nov 7th Result date)</t>
  </si>
  <si>
    <t>NotTracking</t>
  </si>
  <si>
    <t>Axis Bank</t>
  </si>
  <si>
    <t>NTPC</t>
  </si>
  <si>
    <t>Tata Communication</t>
  </si>
  <si>
    <t>MaxHealth</t>
  </si>
  <si>
    <t>ntpc</t>
  </si>
  <si>
    <t>Bharat Dynamic</t>
  </si>
  <si>
    <t>maxhealth</t>
  </si>
  <si>
    <t>-- 4/11: closed at 2pm just to book 2 percent profit.. And saw slight resistance in hourly candle
-- ideally should have bought at 1990, waited for one more round of confirmation. Whereas dabur I entered as soon I saw reversal</t>
  </si>
  <si>
    <r>
      <rPr>
        <b/>
        <sz val="11"/>
        <color theme="1"/>
        <rFont val="Calibri"/>
        <family val="2"/>
        <scheme val="minor"/>
      </rPr>
      <t>3. Desperation to trade and one gets into wrong trade, volume reduced little bit but price was going down only</t>
    </r>
    <r>
      <rPr>
        <sz val="11"/>
        <color theme="1"/>
        <rFont val="Calibri"/>
        <family val="2"/>
        <scheme val="minor"/>
      </rPr>
      <t xml:space="preserve">
2. bad day lost almost 3%, Q2 FY2026 results announced, which may caused the drop
1. No clear signal</t>
    </r>
  </si>
  <si>
    <t>4/11: NEVER TRADE IN THIS STRATEGY BASED ON FUNDAMENTAL news, CHART should support strategy
3/11: Because of good numbers for electric scooter, lets see if there is upside</t>
  </si>
  <si>
    <t>Don't place Limit order before start of day. Look at morning status.</t>
  </si>
  <si>
    <t xml:space="preserve"> Please always check volume, price. Even if slowdown in drop in price shouldn't enter as REVERSAL is not seen yet</t>
  </si>
  <si>
    <t xml:space="preserve"> Don’t mix fundamental analysis this STRATEGY is primarily based on chart. Not on fundamental analysis, fundamental analysis should just only be TO RULE OUT ANY STOCK</t>
  </si>
  <si>
    <t>samvardhna motherson</t>
  </si>
  <si>
    <t>-- till 4/11 price is under pressure, will continue to watch for change in trend to uptrend</t>
  </si>
  <si>
    <t>Market VWAP</t>
  </si>
  <si>
    <t>Buy VWAp</t>
  </si>
  <si>
    <t>Name</t>
  </si>
  <si>
    <t>Token</t>
  </si>
  <si>
    <t>6/11: 4/11 still feel downward pressure..
coming down from 1455--&gt; touchin 1400. Result expected in 1st week of nov most likely will go down</t>
  </si>
  <si>
    <t>-- 6/11: price moved to 6075, put trigger on 6031 to retain 3 percentage points and in case it moves further up need to adjust. Check after every hour
3/11: seem less pressure down so hold it
1/11: price gone down but minimal sell pressure, vwap is holding.
31/10:price went down to 5800, should have bought at that level, in the end it is showing -CVD which is not sure if correct. Volume doubled, selling does happen. However looking at 1 day candle it is green umbrella at bottom and vwap also increased from 1st tick to last tick.. BUT VWAP is at 5818 whereas mkt price 5859.. so no clear direction
30/10: First hour price gone to 5801, vwap gone to 5808</t>
  </si>
  <si>
    <t>Current Vwad</t>
  </si>
  <si>
    <t xml:space="preserve">start vwap </t>
  </si>
  <si>
    <t>-- I couldn't realize and it went down rapidly, sold at market price</t>
  </si>
  <si>
    <t>-- 6/11: vwap moved to 3474 major downtrend
--6/11: 4/11 trend changed to uptrend. Check for continuity on 6/11
down pressure, price is high anyways</t>
  </si>
  <si>
    <r>
      <t xml:space="preserve">--6/11: major drop in first hour. </t>
    </r>
    <r>
      <rPr>
        <sz val="11"/>
        <rFont val="Calibri"/>
        <family val="2"/>
        <scheme val="minor"/>
      </rPr>
      <t>Exited</t>
    </r>
    <r>
      <rPr>
        <sz val="11"/>
        <color rgb="FFC00000"/>
        <rFont val="Calibri"/>
        <family val="2"/>
        <scheme val="minor"/>
      </rPr>
      <t xml:space="preserve">
--4/11: really don't know why I entered the stock
--4/11:  however should have check recovery volume was very low, should I enter when volume is low. I entered on 4/11 at 1532
--3/11: 2:30pm downward pressure slowing down, last price 1521. However recent low was 1515
downward pressure is continuing</t>
    </r>
  </si>
  <si>
    <r>
      <t xml:space="preserve">-- 6/11: </t>
    </r>
    <r>
      <rPr>
        <sz val="11"/>
        <color rgb="FF00B050"/>
        <rFont val="Calibri"/>
        <family val="2"/>
        <scheme val="minor"/>
      </rPr>
      <t>at 1:10pm put exit condition if touches 104.8 sell at 104.7</t>
    </r>
    <r>
      <rPr>
        <sz val="11"/>
        <color theme="1"/>
        <rFont val="Calibri"/>
        <family val="2"/>
        <scheme val="minor"/>
      </rPr>
      <t xml:space="preserve">
--6/11: Observed for couple of days high volume transaction move sstock by .2 paise.. Looks like a resistance level.</t>
    </r>
  </si>
  <si>
    <t>-- how can I enter ntpc it is just going down. LOOKS LIKE OPERATIONAL ISSUE
--4/11.. vwap 345 on 30/10, vwap 331 on 4/11</t>
  </si>
  <si>
    <r>
      <t xml:space="preserve">-- how can I enter ntpc it is just going down. </t>
    </r>
    <r>
      <rPr>
        <sz val="11"/>
        <color rgb="FFFF0000"/>
        <rFont val="Calibri"/>
        <family val="2"/>
        <scheme val="minor"/>
      </rPr>
      <t>LOOKS LIKE OPERATIONAL ISSUE</t>
    </r>
  </si>
  <si>
    <t>-- 6/11: Entry logic looks correct but  trade may not go in favour</t>
  </si>
  <si>
    <t>-- within 2 hours position closed</t>
  </si>
  <si>
    <t>ACC</t>
  </si>
  <si>
    <t>chola investment</t>
  </si>
  <si>
    <t>container corporation</t>
  </si>
  <si>
    <t>Grasim</t>
  </si>
  <si>
    <t>HDFSTA</t>
  </si>
  <si>
    <t>India hotel</t>
  </si>
  <si>
    <t>info edge(naukri)</t>
  </si>
  <si>
    <t>JSW Energy</t>
  </si>
  <si>
    <t>Jubilian Food</t>
  </si>
  <si>
    <t>national aluminium</t>
  </si>
  <si>
    <t>NHPC</t>
  </si>
  <si>
    <t>Premier Energies</t>
  </si>
  <si>
    <t>RECLimited</t>
  </si>
  <si>
    <t>torrent power</t>
  </si>
  <si>
    <t>,</t>
  </si>
  <si>
    <t>2170625,</t>
  </si>
  <si>
    <t>951809,</t>
  </si>
  <si>
    <t>5728513,</t>
  </si>
  <si>
    <t>2977281,</t>
  </si>
  <si>
    <t>424961,</t>
  </si>
  <si>
    <t>5633,</t>
  </si>
  <si>
    <t>387073,</t>
  </si>
  <si>
    <t>3520257,</t>
  </si>
  <si>
    <t>4632577,</t>
  </si>
  <si>
    <t>4454401,</t>
  </si>
  <si>
    <t>6412545,</t>
  </si>
  <si>
    <t>3529217,</t>
  </si>
  <si>
    <t>235.14 buy.. 236.7 sell</t>
  </si>
  <si>
    <t>Hindalco</t>
  </si>
  <si>
    <t>nmdc</t>
  </si>
  <si>
    <t>NTPC Green Energy</t>
  </si>
  <si>
    <t>Power Finance</t>
  </si>
  <si>
    <t>3329,</t>
  </si>
  <si>
    <t>348929,</t>
  </si>
  <si>
    <t>2939649,</t>
  </si>
  <si>
    <t>3924993,</t>
  </si>
  <si>
    <t>6957057,</t>
  </si>
  <si>
    <t>3660545,</t>
  </si>
  <si>
    <t>NMDC</t>
  </si>
  <si>
    <t>TVSMotor</t>
  </si>
  <si>
    <t>Voltas</t>
  </si>
  <si>
    <t>Naukri</t>
  </si>
  <si>
    <t>Interglobe aviation</t>
  </si>
  <si>
    <t>Major bearish</t>
  </si>
  <si>
    <t>jswste</t>
  </si>
  <si>
    <t>varun</t>
  </si>
  <si>
    <t>40193,</t>
  </si>
  <si>
    <t>2865921,</t>
  </si>
  <si>
    <t>502785,</t>
  </si>
  <si>
    <t>3001089,</t>
  </si>
  <si>
    <t>4843777,</t>
  </si>
  <si>
    <t>NTPC Green</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</si>
</sst>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1"/>
      <color theme="1"/>
      <name val="Calibri"/>
      <family val="2"/>
      <scheme val="minor"/>
    </font>
    <font>
      <sz val="11"/>
      <color rgb="FFB5CEA8"/>
      <name val="Consolas"/>
      <family val="3"/>
    </font>
    <font>
      <b/>
      <sz val="11"/>
      <color theme="1"/>
      <name val="Calibri"/>
      <family val="2"/>
      <scheme val="minor"/>
    </font>
    <font>
      <sz val="11"/>
      <color rgb="FFFF0000"/>
      <name val="Calibri"/>
      <family val="2"/>
      <scheme val="minor"/>
    </font>
    <font>
      <sz val="11"/>
      <name val="Calibri"/>
      <family val="2"/>
      <scheme val="minor"/>
    </font>
    <font>
      <sz val="11"/>
      <name val="Consolas"/>
      <family val="3"/>
    </font>
    <font>
      <b/>
      <sz val="11"/>
      <name val="Calibri"/>
      <family val="2"/>
      <scheme val="minor"/>
    </font>
    <font>
      <b/>
      <sz val="11"/>
      <color rgb="FFFF0000"/>
      <name val="Calibri"/>
      <family val="2"/>
      <scheme val="minor"/>
    </font>
    <font>
      <sz val="11"/>
      <color rgb="FF92D050"/>
      <name val="Calibri"/>
      <family val="2"/>
      <scheme val="minor"/>
    </font>
    <font>
      <sz val="11"/>
      <color rgb="FFFF0000"/>
      <name val="Consolas"/>
      <family val="3"/>
    </font>
    <font>
      <sz val="11"/>
      <color rgb="FFC00000"/>
      <name val="Calibri"/>
      <family val="2"/>
      <scheme val="minor"/>
    </font>
    <font>
      <sz val="11"/>
      <color rgb="FF00B050"/>
      <name val="Calibri"/>
      <family val="2"/>
      <scheme val="minor"/>
    </font>
    <font>
      <sz val="11"/>
      <color rgb="FF00B050"/>
      <name val="Consolas"/>
      <family val="3"/>
    </font>
  </fonts>
  <fills count="5">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0"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6">
    <xf numFmtId="0" fontId="0" fillId="0" borderId="0" xfId="0"/>
    <xf numFmtId="14" fontId="0" fillId="0" borderId="0" xfId="0" applyNumberFormat="1"/>
    <xf numFmtId="14" fontId="0" fillId="2" borderId="0" xfId="0" applyNumberFormat="1" applyFill="1"/>
    <xf numFmtId="14" fontId="0" fillId="3" borderId="0" xfId="0" applyNumberFormat="1" applyFill="1"/>
    <xf numFmtId="0" fontId="1" fillId="0" borderId="0" xfId="0" applyFont="1" applyAlignment="1">
      <alignment vertical="center"/>
    </xf>
    <xf numFmtId="0" fontId="0" fillId="3" borderId="0" xfId="0" applyFill="1"/>
    <xf numFmtId="0" fontId="0" fillId="0" borderId="0" xfId="0" applyAlignment="1">
      <alignment wrapText="1"/>
    </xf>
    <xf numFmtId="0" fontId="0" fillId="0" borderId="1" xfId="0" applyBorder="1"/>
    <xf numFmtId="0" fontId="2" fillId="4" borderId="1" xfId="0" applyFont="1" applyFill="1" applyBorder="1"/>
    <xf numFmtId="14" fontId="0" fillId="0" borderId="0" xfId="0" applyNumberFormat="1" applyFill="1"/>
    <xf numFmtId="0" fontId="4" fillId="0" borderId="0" xfId="0" applyFont="1"/>
    <xf numFmtId="0" fontId="3" fillId="0" borderId="0" xfId="0" applyFont="1"/>
    <xf numFmtId="0" fontId="4" fillId="0" borderId="0" xfId="0" applyFont="1" applyFill="1"/>
    <xf numFmtId="0" fontId="4" fillId="3" borderId="0" xfId="0" applyFont="1" applyFill="1"/>
    <xf numFmtId="0" fontId="0" fillId="0" borderId="0" xfId="0" applyFill="1"/>
    <xf numFmtId="0" fontId="5" fillId="0" borderId="0" xfId="0" applyFont="1" applyAlignment="1">
      <alignment vertical="center"/>
    </xf>
    <xf numFmtId="0" fontId="6" fillId="4" borderId="1" xfId="0" applyFont="1" applyFill="1" applyBorder="1"/>
    <xf numFmtId="14" fontId="0" fillId="2" borderId="1" xfId="0" applyNumberFormat="1" applyFill="1" applyBorder="1"/>
    <xf numFmtId="14" fontId="0" fillId="0" borderId="1" xfId="0" applyNumberFormat="1" applyBorder="1"/>
    <xf numFmtId="14" fontId="0" fillId="0" borderId="1" xfId="0" applyNumberFormat="1" applyFill="1" applyBorder="1"/>
    <xf numFmtId="0" fontId="5" fillId="0" borderId="1" xfId="0" applyFont="1" applyBorder="1" applyAlignment="1">
      <alignment vertical="center"/>
    </xf>
    <xf numFmtId="0" fontId="0" fillId="0" borderId="1" xfId="0" applyBorder="1" applyAlignment="1">
      <alignment wrapText="1"/>
    </xf>
    <xf numFmtId="0" fontId="0" fillId="0" borderId="1" xfId="0" applyFill="1" applyBorder="1"/>
    <xf numFmtId="0" fontId="0" fillId="0" borderId="1" xfId="0" applyBorder="1" applyAlignment="1">
      <alignment vertical="top" wrapText="1"/>
    </xf>
    <xf numFmtId="0" fontId="4" fillId="0" borderId="1" xfId="0" applyFont="1" applyBorder="1"/>
    <xf numFmtId="14" fontId="4" fillId="3" borderId="0" xfId="0" applyNumberFormat="1" applyFont="1" applyFill="1"/>
    <xf numFmtId="0" fontId="0" fillId="0" borderId="0" xfId="0" quotePrefix="1" applyAlignment="1">
      <alignment wrapText="1"/>
    </xf>
    <xf numFmtId="0" fontId="4" fillId="0" borderId="1" xfId="0" applyFont="1" applyFill="1" applyBorder="1"/>
    <xf numFmtId="0" fontId="0" fillId="0" borderId="1" xfId="0" quotePrefix="1" applyBorder="1"/>
    <xf numFmtId="0" fontId="0" fillId="0" borderId="1" xfId="0" quotePrefix="1" applyBorder="1" applyAlignment="1">
      <alignment wrapText="1"/>
    </xf>
    <xf numFmtId="0" fontId="8" fillId="0" borderId="0" xfId="0" applyFont="1"/>
    <xf numFmtId="0" fontId="0" fillId="2" borderId="0" xfId="0" applyFill="1"/>
    <xf numFmtId="0" fontId="0" fillId="3" borderId="1" xfId="0" applyFill="1" applyBorder="1"/>
    <xf numFmtId="0" fontId="8" fillId="0" borderId="1" xfId="0" applyFont="1" applyBorder="1"/>
    <xf numFmtId="0" fontId="0" fillId="2" borderId="1" xfId="0" applyFill="1" applyBorder="1"/>
    <xf numFmtId="0" fontId="0" fillId="0" borderId="0" xfId="0" quotePrefix="1" applyFill="1" applyAlignment="1">
      <alignment wrapText="1"/>
    </xf>
    <xf numFmtId="14" fontId="8" fillId="0" borderId="0" xfId="0" applyNumberFormat="1" applyFont="1"/>
    <xf numFmtId="14" fontId="3" fillId="0" borderId="0" xfId="0" applyNumberFormat="1" applyFont="1"/>
    <xf numFmtId="0" fontId="3" fillId="0" borderId="0" xfId="0" applyFont="1" applyFill="1"/>
    <xf numFmtId="0" fontId="9" fillId="0" borderId="0" xfId="0" applyFont="1" applyAlignment="1">
      <alignment vertical="center"/>
    </xf>
    <xf numFmtId="0" fontId="3" fillId="0" borderId="0" xfId="0" quotePrefix="1" applyFont="1"/>
    <xf numFmtId="0" fontId="10" fillId="0" borderId="0" xfId="0" applyFont="1"/>
    <xf numFmtId="14" fontId="10" fillId="0" borderId="0" xfId="0" applyNumberFormat="1" applyFont="1"/>
    <xf numFmtId="0" fontId="10" fillId="2" borderId="0" xfId="0" applyFont="1" applyFill="1"/>
    <xf numFmtId="0" fontId="10" fillId="0" borderId="0" xfId="0" quotePrefix="1" applyFont="1" applyAlignment="1">
      <alignment wrapText="1"/>
    </xf>
    <xf numFmtId="0" fontId="11" fillId="0" borderId="0" xfId="0" applyFont="1"/>
    <xf numFmtId="14" fontId="11" fillId="2" borderId="0" xfId="0" applyNumberFormat="1" applyFont="1" applyFill="1"/>
    <xf numFmtId="0" fontId="12" fillId="0" borderId="0" xfId="0" applyFont="1" applyAlignment="1">
      <alignment vertical="center"/>
    </xf>
    <xf numFmtId="0" fontId="0" fillId="0" borderId="1" xfId="0" quotePrefix="1" applyBorder="1" applyAlignment="1">
      <alignment vertical="top" wrapText="1"/>
    </xf>
    <xf numFmtId="0" fontId="3" fillId="0" borderId="1" xfId="0" quotePrefix="1" applyFont="1" applyBorder="1"/>
    <xf numFmtId="14" fontId="4" fillId="0" borderId="1" xfId="0" applyNumberFormat="1" applyFont="1" applyFill="1" applyBorder="1"/>
    <xf numFmtId="0" fontId="4" fillId="0" borderId="1" xfId="0" quotePrefix="1" applyFont="1" applyFill="1" applyBorder="1" applyAlignment="1">
      <alignment wrapText="1"/>
    </xf>
    <xf numFmtId="14" fontId="4" fillId="0" borderId="1" xfId="0" applyNumberFormat="1" applyFont="1" applyBorder="1"/>
    <xf numFmtId="0" fontId="5" fillId="0" borderId="1" xfId="0" applyFont="1" applyFill="1" applyBorder="1" applyAlignment="1">
      <alignment vertical="center"/>
    </xf>
    <xf numFmtId="0" fontId="4" fillId="0" borderId="1" xfId="0" quotePrefix="1" applyFont="1" applyFill="1" applyBorder="1"/>
    <xf numFmtId="0" fontId="5" fillId="0" borderId="0" xfId="0" applyFont="1" applyFill="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4"/>
  <sheetViews>
    <sheetView workbookViewId="0">
      <selection activeCell="D8" sqref="D8"/>
    </sheetView>
  </sheetViews>
  <sheetFormatPr defaultRowHeight="15" x14ac:dyDescent="0.25"/>
  <sheetData>
    <row r="2" spans="1:2" x14ac:dyDescent="0.25">
      <c r="A2">
        <v>1</v>
      </c>
      <c r="B2" t="s">
        <v>85</v>
      </c>
    </row>
    <row r="3" spans="1:2" x14ac:dyDescent="0.25">
      <c r="A3">
        <v>2</v>
      </c>
      <c r="B3" t="s">
        <v>86</v>
      </c>
    </row>
    <row r="4" spans="1:2" x14ac:dyDescent="0.25">
      <c r="A4">
        <v>3</v>
      </c>
      <c r="B4" t="s">
        <v>87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8"/>
  <sheetViews>
    <sheetView workbookViewId="0">
      <pane ySplit="1" topLeftCell="A33" activePane="bottomLeft" state="frozen"/>
      <selection pane="bottomLeft" activeCell="E33" sqref="E33"/>
    </sheetView>
  </sheetViews>
  <sheetFormatPr defaultRowHeight="15" x14ac:dyDescent="0.25"/>
  <cols>
    <col min="1" max="1" width="9.140625" style="24"/>
    <col min="2" max="2" width="11.7109375" style="24" bestFit="1" customWidth="1"/>
    <col min="3" max="3" width="10.42578125" style="24" bestFit="1" customWidth="1"/>
    <col min="4" max="4" width="23.140625" style="24" customWidth="1"/>
    <col min="5" max="8" width="9.140625" style="24"/>
    <col min="9" max="9" width="6.28515625" style="24" customWidth="1"/>
    <col min="10" max="10" width="9.140625" style="24"/>
    <col min="11" max="11" width="81.5703125" style="24" bestFit="1" customWidth="1"/>
    <col min="12" max="16384" width="9.140625" style="24"/>
  </cols>
  <sheetData>
    <row r="1" spans="1:11" x14ac:dyDescent="0.25">
      <c r="F1" s="24" t="s">
        <v>2</v>
      </c>
      <c r="G1" s="24" t="s">
        <v>97</v>
      </c>
      <c r="H1" s="24" t="s">
        <v>96</v>
      </c>
      <c r="J1" s="24" t="s">
        <v>4</v>
      </c>
    </row>
    <row r="2" spans="1:11" customFormat="1" x14ac:dyDescent="0.25">
      <c r="A2" t="s">
        <v>74</v>
      </c>
      <c r="B2" t="s">
        <v>9</v>
      </c>
      <c r="C2" s="2">
        <v>45960</v>
      </c>
      <c r="D2" t="s">
        <v>0</v>
      </c>
      <c r="E2" s="15">
        <v>4451329</v>
      </c>
      <c r="F2">
        <v>162.1</v>
      </c>
      <c r="H2">
        <v>164.57</v>
      </c>
      <c r="K2" t="s">
        <v>1</v>
      </c>
    </row>
    <row r="3" spans="1:11" s="14" customFormat="1" ht="30" x14ac:dyDescent="0.25">
      <c r="A3" s="14" t="s">
        <v>74</v>
      </c>
      <c r="C3" s="9">
        <v>45960</v>
      </c>
      <c r="D3" s="14" t="s">
        <v>3</v>
      </c>
      <c r="E3" s="55">
        <v>40193</v>
      </c>
      <c r="F3" s="14">
        <v>7858.5</v>
      </c>
      <c r="G3" s="14">
        <v>7881</v>
      </c>
      <c r="H3" s="14">
        <v>7863</v>
      </c>
      <c r="J3" s="14">
        <v>-8838</v>
      </c>
      <c r="K3" s="35" t="s">
        <v>73</v>
      </c>
    </row>
    <row r="4" spans="1:11" s="45" customFormat="1" x14ac:dyDescent="0.25">
      <c r="A4" s="45" t="s">
        <v>74</v>
      </c>
      <c r="B4" s="45" t="s">
        <v>9</v>
      </c>
      <c r="C4" s="46">
        <v>45960</v>
      </c>
      <c r="D4" s="45" t="s">
        <v>5</v>
      </c>
      <c r="E4" s="47">
        <v>140033</v>
      </c>
      <c r="F4" s="45">
        <v>5855</v>
      </c>
      <c r="G4" s="45">
        <v>5881</v>
      </c>
      <c r="H4" s="45">
        <v>5873</v>
      </c>
      <c r="J4" s="45">
        <v>33262</v>
      </c>
      <c r="K4" s="45" t="s">
        <v>6</v>
      </c>
    </row>
    <row r="5" spans="1:11" customFormat="1" ht="60" x14ac:dyDescent="0.25">
      <c r="A5" t="s">
        <v>74</v>
      </c>
      <c r="B5" t="s">
        <v>9</v>
      </c>
      <c r="C5" s="2">
        <v>45960</v>
      </c>
      <c r="D5" t="s">
        <v>7</v>
      </c>
      <c r="E5" s="15">
        <v>177665</v>
      </c>
      <c r="F5">
        <v>1581.1</v>
      </c>
      <c r="G5">
        <v>1574</v>
      </c>
      <c r="H5">
        <v>1579</v>
      </c>
      <c r="J5">
        <v>75568</v>
      </c>
      <c r="K5" s="6" t="s">
        <v>83</v>
      </c>
    </row>
    <row r="6" spans="1:11" customFormat="1" ht="30" x14ac:dyDescent="0.25">
      <c r="A6" t="s">
        <v>74</v>
      </c>
      <c r="C6" s="3">
        <v>45960</v>
      </c>
      <c r="D6" t="s">
        <v>8</v>
      </c>
      <c r="E6" s="10">
        <v>2585345</v>
      </c>
      <c r="F6">
        <v>1106.8</v>
      </c>
      <c r="G6">
        <v>1117</v>
      </c>
      <c r="H6">
        <v>1112</v>
      </c>
      <c r="J6">
        <v>-208927</v>
      </c>
      <c r="K6" s="6" t="s">
        <v>55</v>
      </c>
    </row>
    <row r="7" spans="1:11" customFormat="1" x14ac:dyDescent="0.25">
      <c r="A7" t="s">
        <v>74</v>
      </c>
      <c r="C7" s="1">
        <v>45960</v>
      </c>
      <c r="D7" t="s">
        <v>10</v>
      </c>
      <c r="E7" s="10">
        <v>5573121</v>
      </c>
      <c r="F7">
        <v>2035</v>
      </c>
      <c r="G7">
        <v>2024</v>
      </c>
      <c r="H7">
        <v>2026</v>
      </c>
      <c r="J7">
        <v>65779</v>
      </c>
      <c r="K7" t="s">
        <v>11</v>
      </c>
    </row>
    <row r="8" spans="1:11" customFormat="1" ht="45" x14ac:dyDescent="0.25">
      <c r="A8" t="s">
        <v>74</v>
      </c>
      <c r="C8" s="1">
        <v>45960</v>
      </c>
      <c r="D8" t="s">
        <v>12</v>
      </c>
      <c r="E8" s="10">
        <v>502785</v>
      </c>
      <c r="F8">
        <v>4780.6000000000004</v>
      </c>
      <c r="G8">
        <v>4743</v>
      </c>
      <c r="H8">
        <v>4766</v>
      </c>
      <c r="I8" t="s">
        <v>58</v>
      </c>
      <c r="J8">
        <v>22000</v>
      </c>
      <c r="K8" s="26" t="s">
        <v>56</v>
      </c>
    </row>
    <row r="9" spans="1:11" s="27" customFormat="1" ht="45" x14ac:dyDescent="0.25">
      <c r="A9" s="27" t="s">
        <v>72</v>
      </c>
      <c r="C9" s="50">
        <v>45960</v>
      </c>
      <c r="D9" s="27" t="s">
        <v>13</v>
      </c>
      <c r="E9" s="27">
        <v>2170625</v>
      </c>
      <c r="F9" s="27">
        <v>3498.9</v>
      </c>
      <c r="G9" s="27">
        <v>3574</v>
      </c>
      <c r="H9" s="27">
        <v>3452</v>
      </c>
      <c r="J9" s="27">
        <v>-9497</v>
      </c>
      <c r="K9" s="51" t="s">
        <v>99</v>
      </c>
    </row>
    <row r="10" spans="1:11" s="27" customFormat="1" ht="45" x14ac:dyDescent="0.25">
      <c r="A10" s="27" t="s">
        <v>72</v>
      </c>
      <c r="C10" s="50">
        <v>45961</v>
      </c>
      <c r="D10" s="27" t="s">
        <v>31</v>
      </c>
      <c r="E10" s="27">
        <v>951809</v>
      </c>
      <c r="F10" s="27">
        <v>1419.8</v>
      </c>
      <c r="H10" s="27">
        <v>1325</v>
      </c>
      <c r="I10" s="27" t="s">
        <v>45</v>
      </c>
      <c r="K10" s="51" t="s">
        <v>94</v>
      </c>
    </row>
    <row r="11" spans="1:11" s="14" customFormat="1" ht="45" x14ac:dyDescent="0.25">
      <c r="A11" s="14" t="s">
        <v>74</v>
      </c>
      <c r="C11" s="9">
        <v>45961</v>
      </c>
      <c r="D11" s="14" t="s">
        <v>32</v>
      </c>
      <c r="E11" s="12">
        <v>79873</v>
      </c>
      <c r="F11" s="14">
        <v>3059</v>
      </c>
      <c r="K11" s="35" t="s">
        <v>71</v>
      </c>
    </row>
    <row r="12" spans="1:11" s="27" customFormat="1" x14ac:dyDescent="0.25">
      <c r="A12" s="27" t="s">
        <v>72</v>
      </c>
      <c r="C12" s="50">
        <v>45961</v>
      </c>
      <c r="D12" s="27" t="s">
        <v>33</v>
      </c>
      <c r="E12" s="27">
        <v>5728513</v>
      </c>
      <c r="F12" s="27">
        <v>1178</v>
      </c>
      <c r="G12" s="27">
        <v>1145</v>
      </c>
      <c r="H12" s="27">
        <v>1130</v>
      </c>
      <c r="I12" s="27" t="s">
        <v>45</v>
      </c>
      <c r="K12" s="27" t="s">
        <v>38</v>
      </c>
    </row>
    <row r="13" spans="1:11" customFormat="1" x14ac:dyDescent="0.25">
      <c r="A13" t="s">
        <v>74</v>
      </c>
      <c r="C13" s="1">
        <v>45961</v>
      </c>
      <c r="D13" t="s">
        <v>34</v>
      </c>
      <c r="E13" s="10">
        <v>519937</v>
      </c>
      <c r="F13">
        <v>3502</v>
      </c>
      <c r="K13" t="s">
        <v>40</v>
      </c>
    </row>
    <row r="14" spans="1:11" s="13" customFormat="1" x14ac:dyDescent="0.25">
      <c r="A14" s="13" t="s">
        <v>74</v>
      </c>
      <c r="C14" s="25">
        <v>45961</v>
      </c>
      <c r="D14" s="13" t="s">
        <v>35</v>
      </c>
      <c r="E14" s="13">
        <v>225537</v>
      </c>
      <c r="F14" s="13">
        <v>1202</v>
      </c>
      <c r="K14" s="13" t="s">
        <v>46</v>
      </c>
    </row>
    <row r="15" spans="1:11" customFormat="1" ht="60" x14ac:dyDescent="0.25">
      <c r="A15" t="s">
        <v>74</v>
      </c>
      <c r="C15" s="1">
        <v>45961</v>
      </c>
      <c r="D15" t="s">
        <v>36</v>
      </c>
      <c r="E15" s="10">
        <v>197633</v>
      </c>
      <c r="F15">
        <v>501.55</v>
      </c>
      <c r="K15" s="26" t="s">
        <v>69</v>
      </c>
    </row>
    <row r="16" spans="1:11" customFormat="1" x14ac:dyDescent="0.25">
      <c r="A16" t="s">
        <v>74</v>
      </c>
      <c r="B16" t="s">
        <v>59</v>
      </c>
      <c r="C16" s="1">
        <v>45964</v>
      </c>
      <c r="D16" t="s">
        <v>48</v>
      </c>
      <c r="E16" s="10">
        <v>900609</v>
      </c>
      <c r="F16">
        <v>3560.1</v>
      </c>
      <c r="K16" t="s">
        <v>49</v>
      </c>
    </row>
    <row r="17" spans="1:11" customFormat="1" x14ac:dyDescent="0.25">
      <c r="A17" t="s">
        <v>74</v>
      </c>
      <c r="C17" s="1">
        <v>45964</v>
      </c>
      <c r="D17" t="s">
        <v>50</v>
      </c>
      <c r="E17" s="10">
        <v>7488257</v>
      </c>
      <c r="G17">
        <v>216.17</v>
      </c>
      <c r="K17" t="s">
        <v>52</v>
      </c>
    </row>
    <row r="18" spans="1:11" s="41" customFormat="1" ht="105" x14ac:dyDescent="0.25">
      <c r="A18" s="41" t="s">
        <v>74</v>
      </c>
      <c r="C18" s="42">
        <v>45964</v>
      </c>
      <c r="D18" s="43" t="s">
        <v>51</v>
      </c>
      <c r="E18" s="41">
        <v>548865</v>
      </c>
      <c r="F18" s="41">
        <v>1530</v>
      </c>
      <c r="G18" s="41">
        <v>1529</v>
      </c>
      <c r="H18" s="41">
        <v>1447</v>
      </c>
      <c r="K18" s="44" t="s">
        <v>100</v>
      </c>
    </row>
    <row r="19" spans="1:11" s="30" customFormat="1" x14ac:dyDescent="0.25">
      <c r="A19" s="30" t="s">
        <v>74</v>
      </c>
      <c r="C19" s="36">
        <v>45965</v>
      </c>
      <c r="D19" s="30" t="s">
        <v>75</v>
      </c>
      <c r="E19" s="30">
        <v>1510401</v>
      </c>
      <c r="G19" s="30">
        <v>1229</v>
      </c>
      <c r="H19" s="30">
        <v>1231</v>
      </c>
    </row>
    <row r="20" spans="1:11" s="27" customFormat="1" ht="30" x14ac:dyDescent="0.25">
      <c r="A20" s="27" t="s">
        <v>72</v>
      </c>
      <c r="C20" s="50">
        <v>45965</v>
      </c>
      <c r="D20" s="27" t="s">
        <v>76</v>
      </c>
      <c r="E20" s="27">
        <v>2977281</v>
      </c>
      <c r="G20" s="27">
        <v>345</v>
      </c>
      <c r="H20" s="27">
        <v>328</v>
      </c>
      <c r="K20" s="51" t="s">
        <v>102</v>
      </c>
    </row>
    <row r="21" spans="1:11" customFormat="1" x14ac:dyDescent="0.25">
      <c r="A21" t="s">
        <v>74</v>
      </c>
      <c r="D21" t="s">
        <v>77</v>
      </c>
      <c r="E21" s="10">
        <v>952577</v>
      </c>
    </row>
    <row r="22" spans="1:11" s="27" customFormat="1" x14ac:dyDescent="0.25">
      <c r="A22" s="27" t="s">
        <v>72</v>
      </c>
      <c r="C22" s="50">
        <v>45966</v>
      </c>
      <c r="D22" s="27" t="s">
        <v>50</v>
      </c>
      <c r="E22" s="27">
        <v>424961</v>
      </c>
      <c r="G22" s="27">
        <v>412</v>
      </c>
      <c r="H22" s="27">
        <v>408</v>
      </c>
      <c r="K22" s="54" t="s">
        <v>89</v>
      </c>
    </row>
    <row r="23" spans="1:11" s="11" customFormat="1" x14ac:dyDescent="0.25">
      <c r="A23" s="11" t="s">
        <v>74</v>
      </c>
      <c r="C23" s="37">
        <v>45966</v>
      </c>
      <c r="D23" s="38" t="s">
        <v>88</v>
      </c>
      <c r="E23" s="39">
        <v>1076225</v>
      </c>
      <c r="F23" s="11">
        <v>105.8</v>
      </c>
      <c r="G23" s="11">
        <v>105.63</v>
      </c>
      <c r="H23" s="11">
        <v>104.84</v>
      </c>
      <c r="K23" s="40" t="s">
        <v>89</v>
      </c>
    </row>
    <row r="24" spans="1:11" s="27" customFormat="1" x14ac:dyDescent="0.25">
      <c r="A24" s="27" t="s">
        <v>72</v>
      </c>
      <c r="C24" s="50">
        <v>45968</v>
      </c>
      <c r="D24" s="27" t="s">
        <v>106</v>
      </c>
      <c r="E24" s="27">
        <v>5633</v>
      </c>
      <c r="G24" s="27">
        <v>1833.05</v>
      </c>
    </row>
    <row r="25" spans="1:11" customFormat="1" x14ac:dyDescent="0.25">
      <c r="A25" t="s">
        <v>74</v>
      </c>
      <c r="C25" s="1">
        <v>45968</v>
      </c>
      <c r="D25" t="s">
        <v>107</v>
      </c>
      <c r="E25" s="10">
        <v>175361</v>
      </c>
      <c r="G25">
        <v>1700.53</v>
      </c>
    </row>
    <row r="26" spans="1:11" s="27" customFormat="1" x14ac:dyDescent="0.25">
      <c r="A26" s="27" t="s">
        <v>74</v>
      </c>
      <c r="C26" s="50">
        <v>45968</v>
      </c>
      <c r="D26" s="27" t="s">
        <v>108</v>
      </c>
      <c r="E26" s="27">
        <v>1215745</v>
      </c>
      <c r="G26" s="27">
        <v>523.20000000000005</v>
      </c>
    </row>
    <row r="27" spans="1:11" s="27" customFormat="1" x14ac:dyDescent="0.25">
      <c r="A27" s="27" t="s">
        <v>74</v>
      </c>
      <c r="C27" s="50">
        <v>45968</v>
      </c>
      <c r="D27" s="27" t="s">
        <v>109</v>
      </c>
      <c r="E27" s="27">
        <v>315393</v>
      </c>
      <c r="G27" s="27">
        <v>2735.56</v>
      </c>
    </row>
    <row r="28" spans="1:11" customFormat="1" x14ac:dyDescent="0.25">
      <c r="A28" t="s">
        <v>74</v>
      </c>
      <c r="C28" s="1">
        <v>45968</v>
      </c>
      <c r="D28" t="s">
        <v>110</v>
      </c>
      <c r="E28" s="10">
        <v>119553</v>
      </c>
      <c r="G28">
        <v>739.8</v>
      </c>
    </row>
    <row r="29" spans="1:11" s="27" customFormat="1" x14ac:dyDescent="0.25">
      <c r="A29" s="27" t="s">
        <v>72</v>
      </c>
      <c r="C29" s="50">
        <v>45968</v>
      </c>
      <c r="D29" s="27" t="s">
        <v>111</v>
      </c>
      <c r="E29" s="27">
        <v>387073</v>
      </c>
      <c r="G29" s="27">
        <v>710</v>
      </c>
    </row>
    <row r="30" spans="1:11" s="27" customFormat="1" x14ac:dyDescent="0.25">
      <c r="A30" s="27" t="s">
        <v>72</v>
      </c>
      <c r="C30" s="50">
        <v>45968</v>
      </c>
      <c r="D30" s="27" t="s">
        <v>112</v>
      </c>
      <c r="E30" s="27">
        <v>3520257</v>
      </c>
      <c r="G30" s="27">
        <v>1331.63</v>
      </c>
    </row>
    <row r="31" spans="1:11" customFormat="1" x14ac:dyDescent="0.25">
      <c r="A31" t="s">
        <v>74</v>
      </c>
      <c r="C31" s="1">
        <v>45968</v>
      </c>
      <c r="D31" t="s">
        <v>113</v>
      </c>
      <c r="E31" s="10">
        <v>4574465</v>
      </c>
      <c r="G31">
        <v>522.52</v>
      </c>
    </row>
    <row r="32" spans="1:11" s="27" customFormat="1" x14ac:dyDescent="0.25">
      <c r="A32" s="27" t="s">
        <v>72</v>
      </c>
      <c r="C32" s="50">
        <v>45968</v>
      </c>
      <c r="D32" s="27" t="s">
        <v>114</v>
      </c>
      <c r="E32" s="53">
        <v>4632577</v>
      </c>
      <c r="G32" s="27">
        <v>586.27</v>
      </c>
    </row>
    <row r="33" spans="1:11" s="30" customFormat="1" x14ac:dyDescent="0.25">
      <c r="A33" t="s">
        <v>74</v>
      </c>
      <c r="B33"/>
      <c r="C33">
        <v>45968</v>
      </c>
      <c r="D33" t="s">
        <v>115</v>
      </c>
      <c r="E33">
        <v>1629185</v>
      </c>
      <c r="F33"/>
      <c r="G33">
        <v>230.29</v>
      </c>
      <c r="H33"/>
      <c r="I33"/>
      <c r="J33"/>
      <c r="K33" t="s">
        <v>133</v>
      </c>
    </row>
    <row r="34" spans="1:11" s="27" customFormat="1" x14ac:dyDescent="0.25">
      <c r="A34" s="27" t="s">
        <v>72</v>
      </c>
      <c r="C34" s="50">
        <v>45968</v>
      </c>
      <c r="D34" s="27" t="s">
        <v>116</v>
      </c>
      <c r="E34" s="27">
        <v>4454401</v>
      </c>
      <c r="G34" s="27">
        <v>82.46</v>
      </c>
    </row>
    <row r="35" spans="1:11" s="27" customFormat="1" x14ac:dyDescent="0.25">
      <c r="A35" s="27" t="s">
        <v>72</v>
      </c>
      <c r="C35" s="50">
        <v>45968</v>
      </c>
      <c r="D35" s="27" t="s">
        <v>117</v>
      </c>
      <c r="E35" s="27">
        <v>6412545</v>
      </c>
      <c r="G35" s="27">
        <v>1017.33</v>
      </c>
    </row>
    <row r="36" spans="1:11" customFormat="1" x14ac:dyDescent="0.25">
      <c r="A36" t="s">
        <v>74</v>
      </c>
      <c r="C36" s="1">
        <v>45968</v>
      </c>
      <c r="D36" t="s">
        <v>118</v>
      </c>
      <c r="E36" s="10">
        <v>3930881</v>
      </c>
      <c r="G36">
        <v>365.71</v>
      </c>
    </row>
    <row r="37" spans="1:11" s="27" customFormat="1" x14ac:dyDescent="0.25">
      <c r="A37" s="27" t="s">
        <v>72</v>
      </c>
      <c r="C37" s="50">
        <v>45968</v>
      </c>
      <c r="D37" s="27" t="s">
        <v>119</v>
      </c>
      <c r="E37" s="27">
        <v>3529217</v>
      </c>
      <c r="G37" s="27">
        <v>1278.94</v>
      </c>
    </row>
    <row r="38" spans="1:11" s="27" customFormat="1" x14ac:dyDescent="0.25">
      <c r="A38" s="27" t="s">
        <v>72</v>
      </c>
      <c r="C38" s="50">
        <v>45971</v>
      </c>
      <c r="D38" s="27" t="s">
        <v>67</v>
      </c>
      <c r="E38" s="27">
        <v>3329</v>
      </c>
      <c r="G38" s="27">
        <v>5014.82</v>
      </c>
    </row>
    <row r="39" spans="1:11" s="27" customFormat="1" x14ac:dyDescent="0.25">
      <c r="A39" s="27" t="s">
        <v>72</v>
      </c>
      <c r="C39" s="50">
        <v>45971</v>
      </c>
      <c r="D39" s="27" t="s">
        <v>134</v>
      </c>
      <c r="E39" s="27">
        <v>348929</v>
      </c>
    </row>
    <row r="40" spans="1:11" s="27" customFormat="1" x14ac:dyDescent="0.25">
      <c r="A40" s="27" t="s">
        <v>72</v>
      </c>
      <c r="C40" s="50">
        <v>45971</v>
      </c>
      <c r="D40" s="27" t="s">
        <v>66</v>
      </c>
      <c r="E40" s="27">
        <v>2939649</v>
      </c>
    </row>
    <row r="41" spans="1:11" s="27" customFormat="1" x14ac:dyDescent="0.25">
      <c r="A41" s="27" t="s">
        <v>72</v>
      </c>
      <c r="C41" s="50">
        <v>45971</v>
      </c>
      <c r="D41" s="27" t="s">
        <v>135</v>
      </c>
      <c r="E41" s="27">
        <v>3924993</v>
      </c>
    </row>
    <row r="42" spans="1:11" s="27" customFormat="1" x14ac:dyDescent="0.25">
      <c r="A42" s="27" t="s">
        <v>72</v>
      </c>
      <c r="C42" s="50">
        <v>45971</v>
      </c>
      <c r="D42" s="27" t="s">
        <v>136</v>
      </c>
      <c r="E42" s="27">
        <v>6957057</v>
      </c>
    </row>
    <row r="43" spans="1:11" s="27" customFormat="1" x14ac:dyDescent="0.25">
      <c r="A43" s="27" t="s">
        <v>72</v>
      </c>
      <c r="C43" s="50">
        <v>45971</v>
      </c>
      <c r="D43" s="27" t="s">
        <v>137</v>
      </c>
      <c r="E43" s="27">
        <v>3660545</v>
      </c>
    </row>
    <row r="44" spans="1:11" x14ac:dyDescent="0.25">
      <c r="A44" s="24" t="s">
        <v>72</v>
      </c>
      <c r="C44" s="52">
        <v>45972</v>
      </c>
      <c r="D44" s="24" t="s">
        <v>3</v>
      </c>
      <c r="E44" s="55">
        <v>40193</v>
      </c>
    </row>
    <row r="45" spans="1:11" x14ac:dyDescent="0.25">
      <c r="A45" s="24" t="s">
        <v>72</v>
      </c>
      <c r="D45" s="24" t="s">
        <v>148</v>
      </c>
      <c r="E45" s="24">
        <v>2865921</v>
      </c>
    </row>
    <row r="46" spans="1:11" x14ac:dyDescent="0.25">
      <c r="A46" s="24" t="s">
        <v>72</v>
      </c>
      <c r="D46" t="s">
        <v>12</v>
      </c>
      <c r="E46" s="10">
        <v>502785</v>
      </c>
      <c r="K46" s="24" t="s">
        <v>149</v>
      </c>
    </row>
    <row r="47" spans="1:11" x14ac:dyDescent="0.25">
      <c r="D47" s="24" t="s">
        <v>150</v>
      </c>
      <c r="E47" s="24">
        <v>3001089</v>
      </c>
    </row>
    <row r="48" spans="1:11" x14ac:dyDescent="0.25">
      <c r="D48" s="24" t="s">
        <v>151</v>
      </c>
      <c r="E48" s="24">
        <v>4843777</v>
      </c>
    </row>
  </sheetData>
  <autoFilter ref="A1:K48"/>
  <pageMargins left="0.7" right="0.7" top="0.75" bottom="0.75"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X26"/>
  <sheetViews>
    <sheetView tabSelected="1" workbookViewId="0">
      <pane ySplit="1" topLeftCell="A2" activePane="bottomLeft" state="frozen"/>
      <selection pane="bottomLeft" activeCell="H23" sqref="H23"/>
    </sheetView>
  </sheetViews>
  <sheetFormatPr defaultRowHeight="15" x14ac:dyDescent="0.25"/>
  <cols>
    <col min="1" max="1" width="5" style="7" customWidth="1"/>
    <col min="2" max="3" width="10.140625" style="7" customWidth="1"/>
    <col min="4" max="4" width="9.140625" style="24"/>
    <col min="5" max="5" width="5.42578125" style="7" customWidth="1"/>
    <col min="6" max="6" width="9.140625" style="7"/>
    <col min="7" max="7" width="12.140625" style="7" bestFit="1" customWidth="1"/>
    <col min="8" max="8" width="12.140625" style="7" customWidth="1"/>
    <col min="9" max="11" width="9.140625" style="7"/>
    <col min="12" max="12" width="10.5703125" style="7" bestFit="1" customWidth="1"/>
    <col min="13" max="13" width="10.5703125" style="7" customWidth="1"/>
    <col min="14" max="15" width="9.140625" style="7"/>
    <col min="16" max="16" width="10.42578125" style="7" bestFit="1" customWidth="1"/>
    <col min="17" max="17" width="9.140625" style="7"/>
    <col min="18" max="18" width="50.42578125" style="7" bestFit="1" customWidth="1"/>
    <col min="19" max="19" width="12.28515625" style="7" customWidth="1"/>
    <col min="20" max="16384" width="9.140625" style="7"/>
  </cols>
  <sheetData>
    <row r="1" spans="1:24" x14ac:dyDescent="0.25">
      <c r="B1" s="7" t="s">
        <v>26</v>
      </c>
      <c r="C1" s="8" t="s">
        <v>92</v>
      </c>
      <c r="D1" s="16" t="s">
        <v>93</v>
      </c>
      <c r="E1" s="8" t="s">
        <v>20</v>
      </c>
      <c r="F1" s="8" t="s">
        <v>90</v>
      </c>
      <c r="G1" s="8" t="s">
        <v>18</v>
      </c>
      <c r="H1" s="8" t="s">
        <v>91</v>
      </c>
      <c r="I1" s="8" t="s">
        <v>17</v>
      </c>
      <c r="J1" s="8" t="s">
        <v>14</v>
      </c>
      <c r="K1" s="8" t="s">
        <v>16</v>
      </c>
      <c r="L1" s="8" t="s">
        <v>19</v>
      </c>
      <c r="M1" s="8" t="s">
        <v>28</v>
      </c>
      <c r="N1" s="8" t="s">
        <v>22</v>
      </c>
      <c r="O1" s="8" t="s">
        <v>29</v>
      </c>
      <c r="P1" s="8" t="s">
        <v>53</v>
      </c>
      <c r="Q1" s="8" t="s">
        <v>24</v>
      </c>
      <c r="R1" s="8" t="s">
        <v>23</v>
      </c>
      <c r="S1" s="8" t="s">
        <v>27</v>
      </c>
    </row>
    <row r="2" spans="1:24" ht="90" hidden="1" x14ac:dyDescent="0.25">
      <c r="A2" s="7">
        <v>1</v>
      </c>
      <c r="B2" s="17">
        <v>45960</v>
      </c>
      <c r="C2" s="7" t="s">
        <v>0</v>
      </c>
      <c r="D2" s="20">
        <v>4451329</v>
      </c>
      <c r="E2" s="20" t="s">
        <v>21</v>
      </c>
      <c r="F2" s="20">
        <v>158.06</v>
      </c>
      <c r="G2" s="7">
        <v>165.82</v>
      </c>
      <c r="I2" s="7">
        <v>162.1</v>
      </c>
      <c r="J2" s="7">
        <f>K2/I2</f>
        <v>616.90314620604568</v>
      </c>
      <c r="K2" s="7">
        <f>0.1*X2</f>
        <v>100000</v>
      </c>
      <c r="L2" s="7">
        <f>(G2-I2)*J2</f>
        <v>2294.8797038864891</v>
      </c>
      <c r="M2" s="7">
        <f>L2*100/(I2*J2)</f>
        <v>2.294879703886489</v>
      </c>
      <c r="O2" s="7">
        <v>165.82</v>
      </c>
      <c r="Q2" s="7" t="s">
        <v>43</v>
      </c>
      <c r="R2" s="21" t="s">
        <v>37</v>
      </c>
      <c r="S2" s="17">
        <f t="shared" ref="S2:S17" ca="1" si="0">TODAY()</f>
        <v>45972</v>
      </c>
      <c r="V2" s="7" t="s">
        <v>15</v>
      </c>
      <c r="X2" s="7">
        <v>1000000</v>
      </c>
    </row>
    <row r="3" spans="1:24" ht="50.1" hidden="1" customHeight="1" x14ac:dyDescent="0.25">
      <c r="A3" s="7">
        <v>2</v>
      </c>
      <c r="B3" s="17">
        <v>45960</v>
      </c>
      <c r="C3" s="34" t="s">
        <v>5</v>
      </c>
      <c r="D3" s="20">
        <v>140033</v>
      </c>
      <c r="E3" s="20" t="s">
        <v>21</v>
      </c>
      <c r="F3" s="7">
        <v>5825</v>
      </c>
      <c r="G3" s="33">
        <v>6125</v>
      </c>
      <c r="H3" s="33"/>
      <c r="I3" s="7">
        <v>5855</v>
      </c>
      <c r="J3" s="7">
        <f t="shared" ref="J3:J5" si="1">K3/I3</f>
        <v>17.079419299743808</v>
      </c>
      <c r="K3" s="7">
        <f>0.1*X2</f>
        <v>100000</v>
      </c>
      <c r="L3" s="7">
        <f>(G3-I3)*J3</f>
        <v>4611.4432109308282</v>
      </c>
      <c r="M3" s="7">
        <f t="shared" ref="M3:M4" si="2">L3*100/(I3*J3)</f>
        <v>4.6114432109308288</v>
      </c>
      <c r="N3" s="7">
        <f>1.03*H3</f>
        <v>0</v>
      </c>
      <c r="O3" s="7">
        <f>1.03*I3</f>
        <v>6030.6500000000005</v>
      </c>
      <c r="P3" s="18">
        <v>45967</v>
      </c>
      <c r="Q3" s="7" t="s">
        <v>43</v>
      </c>
      <c r="R3" s="48" t="s">
        <v>95</v>
      </c>
      <c r="S3" s="17">
        <f t="shared" ca="1" si="0"/>
        <v>45972</v>
      </c>
    </row>
    <row r="4" spans="1:24" ht="50.1" hidden="1" customHeight="1" x14ac:dyDescent="0.25">
      <c r="A4" s="7">
        <v>3</v>
      </c>
      <c r="B4" s="17">
        <v>45960</v>
      </c>
      <c r="C4" s="22" t="s">
        <v>7</v>
      </c>
      <c r="D4" s="20">
        <v>177665</v>
      </c>
      <c r="E4" s="20" t="s">
        <v>21</v>
      </c>
      <c r="F4" s="20"/>
      <c r="G4" s="7">
        <v>1540.1</v>
      </c>
      <c r="I4" s="7">
        <v>1581.1</v>
      </c>
      <c r="J4" s="7">
        <f t="shared" si="1"/>
        <v>63.247106444880153</v>
      </c>
      <c r="K4" s="7">
        <f>0.1*X2</f>
        <v>100000</v>
      </c>
      <c r="L4" s="7">
        <f t="shared" ref="L4" si="3">(G4-I4)*J4</f>
        <v>-2593.1313642400864</v>
      </c>
      <c r="M4" s="7">
        <f t="shared" si="2"/>
        <v>-2.5931313642400866</v>
      </c>
      <c r="N4" s="7">
        <v>1520</v>
      </c>
      <c r="P4" s="18">
        <v>45961</v>
      </c>
      <c r="Q4" s="7" t="s">
        <v>43</v>
      </c>
      <c r="R4" s="23" t="s">
        <v>30</v>
      </c>
      <c r="S4" s="17">
        <f t="shared" ca="1" si="0"/>
        <v>45972</v>
      </c>
    </row>
    <row r="5" spans="1:24" s="22" customFormat="1" hidden="1" x14ac:dyDescent="0.25">
      <c r="A5" s="22">
        <v>4</v>
      </c>
      <c r="B5" s="19">
        <v>45961</v>
      </c>
      <c r="C5" s="22" t="s">
        <v>39</v>
      </c>
      <c r="D5" s="27">
        <v>519937</v>
      </c>
      <c r="E5" s="27" t="s">
        <v>21</v>
      </c>
      <c r="F5" s="27">
        <v>3497</v>
      </c>
      <c r="G5" s="22">
        <v>3558.9</v>
      </c>
      <c r="I5" s="22">
        <v>3502</v>
      </c>
      <c r="J5" s="22">
        <f t="shared" si="1"/>
        <v>28.555111364934323</v>
      </c>
      <c r="K5" s="22">
        <v>100000</v>
      </c>
      <c r="L5" s="22">
        <f t="shared" ref="L5" si="4">(G5-I5)*J5</f>
        <v>1624.7858366647656</v>
      </c>
      <c r="M5" s="22">
        <f t="shared" ref="M5" si="5">L5*100/(I5*J5)</f>
        <v>1.6247858366647656</v>
      </c>
      <c r="O5" s="22">
        <v>3558.9</v>
      </c>
      <c r="P5" s="19">
        <v>45961</v>
      </c>
      <c r="Q5" s="22" t="s">
        <v>54</v>
      </c>
      <c r="R5" s="22" t="s">
        <v>44</v>
      </c>
      <c r="S5" s="19">
        <f t="shared" ca="1" si="0"/>
        <v>45972</v>
      </c>
    </row>
    <row r="6" spans="1:24" customFormat="1" hidden="1" x14ac:dyDescent="0.25">
      <c r="A6">
        <v>5</v>
      </c>
      <c r="B6" s="2">
        <v>45961</v>
      </c>
      <c r="C6" s="5" t="s">
        <v>7</v>
      </c>
      <c r="D6" s="20">
        <v>177665</v>
      </c>
      <c r="E6" s="20" t="s">
        <v>41</v>
      </c>
      <c r="F6" s="4"/>
      <c r="G6">
        <v>1540.1</v>
      </c>
      <c r="I6">
        <v>1581.1</v>
      </c>
      <c r="J6">
        <f t="shared" ref="J6" si="6">K6/I6</f>
        <v>63.247106444880153</v>
      </c>
      <c r="K6">
        <v>100000</v>
      </c>
      <c r="L6">
        <f t="shared" ref="L6:L7" si="7">(G6-I6)*J6</f>
        <v>-2593.1313642400864</v>
      </c>
      <c r="M6">
        <f t="shared" ref="M6:M7" si="8">L6*100/(I6*J6)</f>
        <v>-2.5931313642400866</v>
      </c>
      <c r="N6">
        <v>1520</v>
      </c>
      <c r="Q6" t="s">
        <v>43</v>
      </c>
      <c r="R6" t="s">
        <v>42</v>
      </c>
      <c r="S6" s="2">
        <f t="shared" ca="1" si="0"/>
        <v>45972</v>
      </c>
    </row>
    <row r="7" spans="1:24" ht="60" hidden="1" x14ac:dyDescent="0.25">
      <c r="A7" s="7">
        <v>6</v>
      </c>
      <c r="B7" s="18">
        <v>45964</v>
      </c>
      <c r="C7" s="7" t="s">
        <v>47</v>
      </c>
      <c r="D7" s="24">
        <v>345089</v>
      </c>
      <c r="E7" s="7" t="s">
        <v>21</v>
      </c>
      <c r="F7" s="7">
        <v>5539</v>
      </c>
      <c r="G7" s="7">
        <v>5285</v>
      </c>
      <c r="I7" s="7">
        <v>5544</v>
      </c>
      <c r="J7" s="7">
        <f>K7/I7</f>
        <v>18.037518037518037</v>
      </c>
      <c r="K7" s="7">
        <v>100000</v>
      </c>
      <c r="L7">
        <f t="shared" si="7"/>
        <v>-4671.7171717171714</v>
      </c>
      <c r="M7" s="7">
        <f t="shared" si="8"/>
        <v>-4.6717171717171713</v>
      </c>
      <c r="O7" s="7">
        <v>5285</v>
      </c>
      <c r="P7" s="18">
        <v>45965</v>
      </c>
      <c r="Q7" s="7" t="s">
        <v>43</v>
      </c>
      <c r="R7" s="21" t="s">
        <v>84</v>
      </c>
      <c r="S7" s="2">
        <f t="shared" ca="1" si="0"/>
        <v>45972</v>
      </c>
    </row>
    <row r="8" spans="1:24" hidden="1" x14ac:dyDescent="0.25">
      <c r="A8" s="7">
        <v>7</v>
      </c>
      <c r="B8" s="19">
        <v>45961</v>
      </c>
      <c r="C8" s="22" t="s">
        <v>39</v>
      </c>
      <c r="D8" s="27">
        <v>519937</v>
      </c>
      <c r="E8" s="27" t="s">
        <v>41</v>
      </c>
      <c r="F8" s="27">
        <v>3497</v>
      </c>
      <c r="G8" s="22">
        <v>3556</v>
      </c>
      <c r="H8" s="22"/>
      <c r="I8" s="22">
        <v>3502</v>
      </c>
      <c r="J8" s="22">
        <f t="shared" ref="J8" si="9">K8/I8</f>
        <v>28.555111364934323</v>
      </c>
      <c r="K8" s="22">
        <v>100000</v>
      </c>
      <c r="L8" s="22">
        <f t="shared" ref="L8:L10" si="10">(G8-I8)*J8</f>
        <v>1541.9760137064534</v>
      </c>
      <c r="M8" s="22">
        <f t="shared" ref="M8:M10" si="11">L8*100/(I8*J8)</f>
        <v>1.5419760137064533</v>
      </c>
      <c r="N8" s="22"/>
      <c r="O8" s="22">
        <v>3558.9</v>
      </c>
      <c r="P8" s="19">
        <v>45961</v>
      </c>
      <c r="Q8" s="22" t="s">
        <v>54</v>
      </c>
      <c r="S8" s="19">
        <f t="shared" ca="1" si="0"/>
        <v>45972</v>
      </c>
    </row>
    <row r="9" spans="1:24" hidden="1" x14ac:dyDescent="0.25">
      <c r="A9" s="7">
        <v>8</v>
      </c>
      <c r="B9" s="18">
        <v>45964</v>
      </c>
      <c r="C9" t="s">
        <v>36</v>
      </c>
      <c r="D9" s="10">
        <v>197633</v>
      </c>
      <c r="E9" s="7" t="s">
        <v>21</v>
      </c>
      <c r="F9" s="7">
        <v>490.41</v>
      </c>
      <c r="G9" s="7">
        <v>502</v>
      </c>
      <c r="I9" s="7">
        <v>488.75</v>
      </c>
      <c r="J9" s="7">
        <f t="shared" ref="J9:J17" si="12">K9/I9</f>
        <v>204.60358056265986</v>
      </c>
      <c r="K9" s="7">
        <v>100000</v>
      </c>
      <c r="L9" s="7">
        <f t="shared" si="10"/>
        <v>2710.9974424552429</v>
      </c>
      <c r="M9" s="7">
        <f t="shared" si="11"/>
        <v>2.710997442455243</v>
      </c>
      <c r="O9" s="7">
        <v>500.8</v>
      </c>
      <c r="P9" s="18">
        <v>45964</v>
      </c>
      <c r="Q9" s="7" t="s">
        <v>43</v>
      </c>
      <c r="R9" s="7" t="s">
        <v>57</v>
      </c>
      <c r="S9" s="18">
        <f t="shared" ca="1" si="0"/>
        <v>45972</v>
      </c>
    </row>
    <row r="10" spans="1:24" ht="75" hidden="1" x14ac:dyDescent="0.25">
      <c r="A10" s="7">
        <v>9</v>
      </c>
      <c r="B10" s="18">
        <v>45964</v>
      </c>
      <c r="C10" t="s">
        <v>10</v>
      </c>
      <c r="D10" s="10">
        <v>5573121</v>
      </c>
      <c r="E10" s="7" t="s">
        <v>21</v>
      </c>
      <c r="F10" s="7">
        <v>2000</v>
      </c>
      <c r="G10" s="7">
        <v>2037</v>
      </c>
      <c r="I10" s="7">
        <v>2004.6</v>
      </c>
      <c r="J10" s="7">
        <f t="shared" si="12"/>
        <v>49.885263893045995</v>
      </c>
      <c r="K10" s="7">
        <v>100000</v>
      </c>
      <c r="L10" s="7">
        <f t="shared" si="10"/>
        <v>1616.2825501346947</v>
      </c>
      <c r="M10" s="7">
        <f t="shared" si="11"/>
        <v>1.6162825501346947</v>
      </c>
      <c r="O10" s="7">
        <v>2044.8</v>
      </c>
      <c r="P10" s="18">
        <v>45965</v>
      </c>
      <c r="Q10" s="7" t="s">
        <v>43</v>
      </c>
      <c r="R10" s="29" t="s">
        <v>82</v>
      </c>
      <c r="S10" s="18">
        <f t="shared" ca="1" si="0"/>
        <v>45972</v>
      </c>
    </row>
    <row r="11" spans="1:24" ht="120" hidden="1" x14ac:dyDescent="0.25">
      <c r="A11" s="7">
        <v>10</v>
      </c>
      <c r="B11" s="18">
        <v>45964</v>
      </c>
      <c r="C11" t="s">
        <v>36</v>
      </c>
      <c r="D11" s="10">
        <v>197633</v>
      </c>
      <c r="E11" s="7" t="s">
        <v>41</v>
      </c>
      <c r="F11" s="7">
        <v>490.41</v>
      </c>
      <c r="G11" s="7">
        <v>502</v>
      </c>
      <c r="I11" s="7">
        <v>488.75</v>
      </c>
      <c r="J11" s="7">
        <f t="shared" si="12"/>
        <v>204.60358056265986</v>
      </c>
      <c r="K11" s="7">
        <v>100000</v>
      </c>
      <c r="L11" s="7">
        <f t="shared" ref="L11" si="13">(G11-I11)*J11</f>
        <v>2710.9974424552429</v>
      </c>
      <c r="M11" s="7">
        <f t="shared" ref="M11:M13" si="14">L11*100/(I11*J11)</f>
        <v>2.710997442455243</v>
      </c>
      <c r="O11" s="7">
        <v>500.8</v>
      </c>
      <c r="P11" s="18">
        <v>45964</v>
      </c>
      <c r="Q11" s="7" t="s">
        <v>43</v>
      </c>
      <c r="R11" s="29" t="s">
        <v>70</v>
      </c>
      <c r="S11" s="18">
        <f t="shared" ca="1" si="0"/>
        <v>45972</v>
      </c>
    </row>
    <row r="12" spans="1:24" hidden="1" x14ac:dyDescent="0.25">
      <c r="A12" s="7">
        <v>11</v>
      </c>
      <c r="B12" s="18">
        <v>45965</v>
      </c>
      <c r="C12" s="7" t="s">
        <v>47</v>
      </c>
      <c r="D12" s="24">
        <v>345089</v>
      </c>
      <c r="E12" s="7" t="s">
        <v>41</v>
      </c>
      <c r="F12" s="7">
        <v>5539</v>
      </c>
      <c r="G12" s="7">
        <v>5285</v>
      </c>
      <c r="I12" s="7">
        <v>5544</v>
      </c>
      <c r="J12" s="7">
        <f t="shared" si="12"/>
        <v>18.037518037518037</v>
      </c>
      <c r="K12" s="7">
        <v>100000</v>
      </c>
      <c r="L12" s="7">
        <f>(G12-I12)*J12</f>
        <v>-4671.7171717171714</v>
      </c>
      <c r="M12" s="7">
        <f t="shared" si="14"/>
        <v>-4.6717171717171713</v>
      </c>
      <c r="Q12" s="7" t="s">
        <v>43</v>
      </c>
      <c r="S12" s="2">
        <f t="shared" ca="1" si="0"/>
        <v>45972</v>
      </c>
    </row>
    <row r="13" spans="1:24" x14ac:dyDescent="0.25">
      <c r="A13" s="7">
        <v>12</v>
      </c>
      <c r="B13" s="18">
        <v>45965</v>
      </c>
      <c r="C13" s="32" t="s">
        <v>78</v>
      </c>
      <c r="D13" s="24">
        <v>5728513</v>
      </c>
      <c r="E13" s="7" t="s">
        <v>21</v>
      </c>
      <c r="F13" s="7">
        <v>1147</v>
      </c>
      <c r="G13" s="7">
        <v>1136</v>
      </c>
      <c r="I13" s="7">
        <v>1147</v>
      </c>
      <c r="J13" s="7">
        <f t="shared" si="12"/>
        <v>87.183958151700082</v>
      </c>
      <c r="K13" s="7">
        <v>100000</v>
      </c>
      <c r="L13" s="7">
        <f>(G13-I13)*J13</f>
        <v>-959.02353966870089</v>
      </c>
      <c r="M13" s="7">
        <f t="shared" si="14"/>
        <v>-0.9590235396687008</v>
      </c>
      <c r="N13" s="7">
        <f>1147*0.97</f>
        <v>1112.5899999999999</v>
      </c>
      <c r="Q13" s="7" t="s">
        <v>25</v>
      </c>
      <c r="R13" s="28" t="s">
        <v>104</v>
      </c>
      <c r="S13" s="18">
        <f t="shared" ca="1" si="0"/>
        <v>45972</v>
      </c>
    </row>
    <row r="14" spans="1:24" hidden="1" x14ac:dyDescent="0.25">
      <c r="A14" s="7">
        <v>13</v>
      </c>
      <c r="B14" s="18">
        <v>45965</v>
      </c>
      <c r="C14" s="32" t="s">
        <v>80</v>
      </c>
      <c r="D14" s="10">
        <v>548865</v>
      </c>
      <c r="E14" s="7" t="s">
        <v>21</v>
      </c>
      <c r="G14" s="7">
        <v>1431.35</v>
      </c>
      <c r="I14" s="7">
        <v>1532</v>
      </c>
      <c r="J14" s="7">
        <f t="shared" si="12"/>
        <v>65.274151436031332</v>
      </c>
      <c r="K14" s="7">
        <v>100000</v>
      </c>
      <c r="L14" s="7">
        <f>(G14-I14)*J14</f>
        <v>-6569.8433420365591</v>
      </c>
      <c r="M14" s="7">
        <f t="shared" ref="M14:M15" si="15">L14*100/(I14*J14)</f>
        <v>-6.5698433420365596</v>
      </c>
      <c r="O14" s="7">
        <v>1431.35</v>
      </c>
      <c r="P14" s="18">
        <v>45967</v>
      </c>
      <c r="Q14" s="7" t="s">
        <v>43</v>
      </c>
      <c r="R14" s="28" t="s">
        <v>98</v>
      </c>
      <c r="S14" s="18">
        <f t="shared" ca="1" si="0"/>
        <v>45972</v>
      </c>
    </row>
    <row r="15" spans="1:24" hidden="1" x14ac:dyDescent="0.25">
      <c r="A15" s="7">
        <v>14</v>
      </c>
      <c r="B15" s="18">
        <v>45965</v>
      </c>
      <c r="C15" t="s">
        <v>10</v>
      </c>
      <c r="D15" s="10">
        <v>5573121</v>
      </c>
      <c r="E15" s="7" t="s">
        <v>41</v>
      </c>
      <c r="G15" s="7">
        <v>2044.8</v>
      </c>
      <c r="I15" s="7">
        <v>2004.6</v>
      </c>
      <c r="J15" s="7">
        <f t="shared" si="12"/>
        <v>49.885263893045995</v>
      </c>
      <c r="K15" s="7">
        <v>100000</v>
      </c>
      <c r="L15" s="7">
        <f t="shared" ref="L15" si="16">(G15-I15)*J15</f>
        <v>2005.3876085004513</v>
      </c>
      <c r="M15" s="7">
        <f t="shared" si="15"/>
        <v>2.0053876085004512</v>
      </c>
      <c r="O15" s="7">
        <v>2044.8</v>
      </c>
      <c r="Q15" s="7" t="s">
        <v>43</v>
      </c>
      <c r="S15" s="18">
        <f t="shared" ca="1" si="0"/>
        <v>45972</v>
      </c>
    </row>
    <row r="16" spans="1:24" x14ac:dyDescent="0.25">
      <c r="A16" s="7">
        <v>15</v>
      </c>
      <c r="B16" s="18">
        <v>45965</v>
      </c>
      <c r="C16" s="32" t="s">
        <v>79</v>
      </c>
      <c r="D16">
        <v>2977281</v>
      </c>
      <c r="E16" s="7" t="s">
        <v>21</v>
      </c>
      <c r="F16" s="7">
        <v>331.12</v>
      </c>
      <c r="G16" s="7">
        <v>326.25</v>
      </c>
      <c r="I16" s="7">
        <v>330.05</v>
      </c>
      <c r="J16" s="7">
        <f t="shared" si="12"/>
        <v>302.98439630359036</v>
      </c>
      <c r="K16" s="7">
        <v>100000</v>
      </c>
      <c r="L16" s="7">
        <f t="shared" ref="L16" si="17">(G16-I16)*J16</f>
        <v>-1151.3407059536469</v>
      </c>
      <c r="M16" s="7">
        <f t="shared" ref="M16:M18" si="18">L16*100/(I16*J16)</f>
        <v>-1.1513407059536469</v>
      </c>
      <c r="N16" s="7">
        <v>323</v>
      </c>
      <c r="Q16" s="7" t="s">
        <v>25</v>
      </c>
      <c r="R16" s="28" t="s">
        <v>103</v>
      </c>
      <c r="S16" s="18">
        <f t="shared" ca="1" si="0"/>
        <v>45972</v>
      </c>
    </row>
    <row r="17" spans="1:19" hidden="1" x14ac:dyDescent="0.25">
      <c r="A17" s="7">
        <v>16</v>
      </c>
      <c r="B17" s="18">
        <v>45967</v>
      </c>
      <c r="C17" s="32" t="s">
        <v>80</v>
      </c>
      <c r="D17" s="10">
        <v>548865</v>
      </c>
      <c r="E17" s="7" t="s">
        <v>41</v>
      </c>
      <c r="G17" s="7">
        <v>1431.35</v>
      </c>
      <c r="I17" s="7">
        <v>1532</v>
      </c>
      <c r="J17" s="7">
        <f t="shared" si="12"/>
        <v>65.274151436031332</v>
      </c>
      <c r="K17" s="7">
        <v>100000</v>
      </c>
      <c r="L17" s="7">
        <f>(G17-I17)*J17</f>
        <v>-6569.8433420365591</v>
      </c>
      <c r="M17" s="7">
        <f t="shared" si="18"/>
        <v>-6.5698433420365596</v>
      </c>
      <c r="O17" s="7">
        <v>1431.35</v>
      </c>
      <c r="Q17" s="7" t="s">
        <v>43</v>
      </c>
      <c r="R17" s="28" t="s">
        <v>98</v>
      </c>
      <c r="S17" s="18">
        <f t="shared" ca="1" si="0"/>
        <v>45972</v>
      </c>
    </row>
    <row r="18" spans="1:19" hidden="1" x14ac:dyDescent="0.25">
      <c r="A18" s="7">
        <v>17</v>
      </c>
      <c r="B18" s="17">
        <v>45967</v>
      </c>
      <c r="C18" s="34" t="s">
        <v>5</v>
      </c>
      <c r="D18" s="20">
        <v>140033</v>
      </c>
      <c r="E18" s="20" t="s">
        <v>41</v>
      </c>
      <c r="F18" s="7">
        <v>5825</v>
      </c>
      <c r="G18" s="33">
        <v>6030.65</v>
      </c>
      <c r="H18" s="33"/>
      <c r="I18" s="7">
        <v>5855</v>
      </c>
      <c r="J18" s="7">
        <f t="shared" ref="J18:J19" si="19">K18/I18</f>
        <v>17.079419299743808</v>
      </c>
      <c r="K18" s="7">
        <v>100000</v>
      </c>
      <c r="L18" s="7">
        <f>(G18-I18)*J18</f>
        <v>2999.9999999999936</v>
      </c>
      <c r="M18" s="7">
        <f t="shared" si="18"/>
        <v>2.9999999999999938</v>
      </c>
      <c r="N18" s="7">
        <f>1.03*H18</f>
        <v>0</v>
      </c>
      <c r="O18" s="7">
        <f>1.03*I18</f>
        <v>6030.6500000000005</v>
      </c>
      <c r="Q18" s="7" t="s">
        <v>43</v>
      </c>
    </row>
    <row r="19" spans="1:19" ht="75" hidden="1" x14ac:dyDescent="0.25">
      <c r="A19" s="7">
        <v>18</v>
      </c>
      <c r="B19" s="18">
        <v>45967</v>
      </c>
      <c r="C19" s="38" t="s">
        <v>88</v>
      </c>
      <c r="D19" s="39">
        <v>1076225</v>
      </c>
      <c r="E19" s="7" t="s">
        <v>21</v>
      </c>
      <c r="F19" s="7">
        <v>103.78</v>
      </c>
      <c r="G19" s="7">
        <v>104.7</v>
      </c>
      <c r="I19" s="7">
        <v>103.64</v>
      </c>
      <c r="J19" s="7">
        <f t="shared" si="19"/>
        <v>964.87842531840988</v>
      </c>
      <c r="K19" s="7">
        <v>100000</v>
      </c>
      <c r="L19" s="7">
        <f>(G19-I19)*J19</f>
        <v>1022.7711308375167</v>
      </c>
      <c r="M19" s="7">
        <f t="shared" ref="M19" si="20">L19*100/(I19*J19)</f>
        <v>1.0227711308375167</v>
      </c>
      <c r="N19" s="7">
        <f>0.98*G19</f>
        <v>102.60599999999999</v>
      </c>
      <c r="O19" s="7">
        <v>104.7</v>
      </c>
      <c r="P19" s="18">
        <v>45967</v>
      </c>
      <c r="Q19" s="7" t="s">
        <v>43</v>
      </c>
      <c r="R19" s="29" t="s">
        <v>101</v>
      </c>
    </row>
    <row r="20" spans="1:19" hidden="1" x14ac:dyDescent="0.25">
      <c r="A20" s="7">
        <v>19</v>
      </c>
      <c r="B20" s="18">
        <v>45967</v>
      </c>
      <c r="C20" s="38" t="s">
        <v>88</v>
      </c>
      <c r="D20" s="39">
        <v>1076225</v>
      </c>
      <c r="E20" s="7" t="s">
        <v>41</v>
      </c>
      <c r="F20" s="7">
        <v>103.78</v>
      </c>
      <c r="G20" s="7">
        <v>104.7</v>
      </c>
      <c r="I20" s="7">
        <v>103.64</v>
      </c>
      <c r="J20" s="7">
        <f t="shared" ref="J20" si="21">K20/I20</f>
        <v>964.87842531840988</v>
      </c>
      <c r="K20" s="7">
        <v>100000</v>
      </c>
      <c r="L20" s="7">
        <f>(G20-I20)*J20</f>
        <v>1022.7711308375167</v>
      </c>
      <c r="M20" s="7">
        <f t="shared" ref="M20" si="22">L20*100/(I20*J20)</f>
        <v>1.0227711308375167</v>
      </c>
      <c r="N20" s="7">
        <f>0.98*G20</f>
        <v>102.60599999999999</v>
      </c>
      <c r="O20" s="7">
        <v>104.7</v>
      </c>
      <c r="Q20" s="7" t="s">
        <v>43</v>
      </c>
      <c r="R20" s="49" t="s">
        <v>105</v>
      </c>
    </row>
    <row r="21" spans="1:19" x14ac:dyDescent="0.25">
      <c r="A21" s="7">
        <v>20</v>
      </c>
      <c r="B21" s="18">
        <v>45971</v>
      </c>
      <c r="C21" s="7" t="s">
        <v>144</v>
      </c>
      <c r="E21" s="7" t="s">
        <v>21</v>
      </c>
      <c r="I21" s="7">
        <v>76.33</v>
      </c>
      <c r="J21" s="7">
        <v>65</v>
      </c>
      <c r="K21" s="7">
        <f>I21*J21</f>
        <v>4961.45</v>
      </c>
      <c r="Q21" s="7" t="s">
        <v>25</v>
      </c>
    </row>
    <row r="22" spans="1:19" x14ac:dyDescent="0.25">
      <c r="A22" s="7">
        <v>21</v>
      </c>
      <c r="B22" s="18">
        <v>45971</v>
      </c>
      <c r="C22" s="7" t="s">
        <v>145</v>
      </c>
      <c r="E22" s="7" t="s">
        <v>21</v>
      </c>
      <c r="Q22" s="7" t="s">
        <v>25</v>
      </c>
    </row>
    <row r="23" spans="1:19" x14ac:dyDescent="0.25">
      <c r="A23" s="7">
        <v>22</v>
      </c>
      <c r="B23" s="18">
        <v>45971</v>
      </c>
      <c r="C23" s="7" t="s">
        <v>146</v>
      </c>
      <c r="E23" s="7" t="s">
        <v>21</v>
      </c>
      <c r="Q23" s="7" t="s">
        <v>25</v>
      </c>
    </row>
    <row r="24" spans="1:19" hidden="1" x14ac:dyDescent="0.25">
      <c r="A24" s="7">
        <v>23</v>
      </c>
      <c r="B24" s="18">
        <v>45971</v>
      </c>
      <c r="C24" s="7" t="s">
        <v>147</v>
      </c>
      <c r="E24" s="7" t="s">
        <v>21</v>
      </c>
      <c r="Q24" s="7" t="s">
        <v>43</v>
      </c>
    </row>
    <row r="25" spans="1:19" hidden="1" x14ac:dyDescent="0.25">
      <c r="A25" s="7">
        <v>24</v>
      </c>
      <c r="B25" s="18">
        <v>45971</v>
      </c>
      <c r="C25" s="7" t="s">
        <v>147</v>
      </c>
      <c r="E25" s="7" t="s">
        <v>41</v>
      </c>
      <c r="Q25" s="7" t="s">
        <v>43</v>
      </c>
    </row>
    <row r="26" spans="1:19" x14ac:dyDescent="0.25">
      <c r="C26" s="7" t="s">
        <v>157</v>
      </c>
      <c r="E26" s="7" t="s">
        <v>21</v>
      </c>
      <c r="I26" s="7">
        <v>97.85</v>
      </c>
      <c r="J26" s="7">
        <v>50</v>
      </c>
    </row>
  </sheetData>
  <autoFilter ref="A1:X25">
    <filterColumn colId="16">
      <filters>
        <filter val="open"/>
      </filters>
    </filterColumn>
  </autoFilter>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8"/>
  <sheetViews>
    <sheetView workbookViewId="0">
      <selection activeCell="C21" sqref="C21"/>
    </sheetView>
  </sheetViews>
  <sheetFormatPr defaultRowHeight="15" x14ac:dyDescent="0.25"/>
  <cols>
    <col min="2" max="2" width="23.28515625" bestFit="1" customWidth="1"/>
    <col min="11" max="11" width="22.140625" bestFit="1" customWidth="1"/>
  </cols>
  <sheetData>
    <row r="1" spans="2:12" x14ac:dyDescent="0.25">
      <c r="K1" t="s">
        <v>61</v>
      </c>
      <c r="L1" t="s">
        <v>65</v>
      </c>
    </row>
    <row r="2" spans="2:12" x14ac:dyDescent="0.25">
      <c r="B2" s="31" t="s">
        <v>10</v>
      </c>
      <c r="C2" s="10">
        <v>5573121</v>
      </c>
      <c r="K2" t="s">
        <v>60</v>
      </c>
    </row>
    <row r="3" spans="2:12" x14ac:dyDescent="0.25">
      <c r="B3" s="32" t="s">
        <v>51</v>
      </c>
      <c r="C3" s="10">
        <v>548865</v>
      </c>
      <c r="K3" t="s">
        <v>62</v>
      </c>
    </row>
    <row r="4" spans="2:12" x14ac:dyDescent="0.25">
      <c r="B4" t="s">
        <v>32</v>
      </c>
      <c r="C4" s="10">
        <v>79873</v>
      </c>
      <c r="L4" t="s">
        <v>63</v>
      </c>
    </row>
    <row r="5" spans="2:12" x14ac:dyDescent="0.25">
      <c r="B5" t="s">
        <v>79</v>
      </c>
      <c r="C5">
        <v>2977281</v>
      </c>
      <c r="L5" t="s">
        <v>64</v>
      </c>
    </row>
    <row r="6" spans="2:12" x14ac:dyDescent="0.25">
      <c r="B6" t="s">
        <v>81</v>
      </c>
      <c r="C6" s="24">
        <v>5728513</v>
      </c>
      <c r="K6" t="s">
        <v>66</v>
      </c>
    </row>
    <row r="7" spans="2:12" x14ac:dyDescent="0.25">
      <c r="B7" s="22" t="s">
        <v>5</v>
      </c>
      <c r="C7" s="20">
        <v>140033</v>
      </c>
      <c r="K7" t="s">
        <v>67</v>
      </c>
    </row>
    <row r="8" spans="2:12" x14ac:dyDescent="0.25">
      <c r="K8" t="s">
        <v>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AC24"/>
  <sheetViews>
    <sheetView workbookViewId="0">
      <selection activeCell="G3" sqref="G3:AC3"/>
    </sheetView>
  </sheetViews>
  <sheetFormatPr defaultRowHeight="15" x14ac:dyDescent="0.25"/>
  <sheetData>
    <row r="2" spans="1:29" x14ac:dyDescent="0.25">
      <c r="A2" s="27" t="s">
        <v>13</v>
      </c>
      <c r="B2" s="27">
        <v>2170625</v>
      </c>
      <c r="C2" t="s">
        <v>120</v>
      </c>
      <c r="D2" t="str">
        <f>CONCATENATE(B2,C2)</f>
        <v>2170625,</v>
      </c>
    </row>
    <row r="3" spans="1:29" x14ac:dyDescent="0.25">
      <c r="A3" s="27" t="s">
        <v>31</v>
      </c>
      <c r="B3" s="27">
        <v>951809</v>
      </c>
      <c r="C3" t="s">
        <v>120</v>
      </c>
      <c r="D3" t="str">
        <f t="shared" ref="D3:D21" si="0">CONCATENATE(B3,C3)</f>
        <v>951809,</v>
      </c>
      <c r="G3" t="s">
        <v>121</v>
      </c>
      <c r="H3" t="s">
        <v>122</v>
      </c>
      <c r="I3" t="s">
        <v>123</v>
      </c>
      <c r="J3" t="s">
        <v>124</v>
      </c>
      <c r="K3" t="s">
        <v>125</v>
      </c>
      <c r="L3" t="s">
        <v>126</v>
      </c>
      <c r="M3" t="s">
        <v>127</v>
      </c>
      <c r="N3" t="s">
        <v>128</v>
      </c>
      <c r="O3" t="s">
        <v>129</v>
      </c>
      <c r="P3" t="s">
        <v>130</v>
      </c>
      <c r="Q3" t="s">
        <v>131</v>
      </c>
      <c r="R3" t="s">
        <v>132</v>
      </c>
      <c r="S3" t="s">
        <v>138</v>
      </c>
      <c r="T3" t="s">
        <v>139</v>
      </c>
      <c r="U3" t="s">
        <v>140</v>
      </c>
      <c r="V3" t="s">
        <v>141</v>
      </c>
      <c r="W3" t="s">
        <v>142</v>
      </c>
      <c r="X3" t="s">
        <v>143</v>
      </c>
      <c r="Y3" t="s">
        <v>152</v>
      </c>
      <c r="Z3" t="s">
        <v>153</v>
      </c>
      <c r="AA3" t="s">
        <v>154</v>
      </c>
      <c r="AB3" t="s">
        <v>155</v>
      </c>
      <c r="AC3" t="s">
        <v>156</v>
      </c>
    </row>
    <row r="4" spans="1:29" x14ac:dyDescent="0.25">
      <c r="A4" s="27" t="s">
        <v>33</v>
      </c>
      <c r="B4" s="27">
        <v>5728513</v>
      </c>
      <c r="C4" t="s">
        <v>120</v>
      </c>
      <c r="D4" t="str">
        <f t="shared" si="0"/>
        <v>5728513,</v>
      </c>
    </row>
    <row r="5" spans="1:29" x14ac:dyDescent="0.25">
      <c r="A5" s="27" t="s">
        <v>76</v>
      </c>
      <c r="B5" s="27">
        <v>2977281</v>
      </c>
      <c r="C5" t="s">
        <v>120</v>
      </c>
      <c r="D5" t="str">
        <f t="shared" si="0"/>
        <v>2977281,</v>
      </c>
    </row>
    <row r="6" spans="1:29" x14ac:dyDescent="0.25">
      <c r="A6" s="27" t="s">
        <v>50</v>
      </c>
      <c r="B6" s="27">
        <v>424961</v>
      </c>
      <c r="C6" t="s">
        <v>120</v>
      </c>
      <c r="D6" t="str">
        <f t="shared" si="0"/>
        <v>424961,</v>
      </c>
    </row>
    <row r="7" spans="1:29" x14ac:dyDescent="0.25">
      <c r="A7" s="27" t="s">
        <v>106</v>
      </c>
      <c r="B7" s="27">
        <v>5633</v>
      </c>
      <c r="C7" t="s">
        <v>120</v>
      </c>
      <c r="D7" t="str">
        <f t="shared" si="0"/>
        <v>5633,</v>
      </c>
    </row>
    <row r="8" spans="1:29" x14ac:dyDescent="0.25">
      <c r="A8" s="27" t="s">
        <v>111</v>
      </c>
      <c r="B8" s="27">
        <v>387073</v>
      </c>
      <c r="C8" t="s">
        <v>120</v>
      </c>
      <c r="D8" t="str">
        <f t="shared" si="0"/>
        <v>387073,</v>
      </c>
    </row>
    <row r="9" spans="1:29" x14ac:dyDescent="0.25">
      <c r="A9" s="27" t="s">
        <v>112</v>
      </c>
      <c r="B9" s="27">
        <v>3520257</v>
      </c>
      <c r="C9" t="s">
        <v>120</v>
      </c>
      <c r="D9" t="str">
        <f t="shared" si="0"/>
        <v>3520257,</v>
      </c>
    </row>
    <row r="10" spans="1:29" x14ac:dyDescent="0.25">
      <c r="A10" s="27" t="s">
        <v>114</v>
      </c>
      <c r="B10" s="53">
        <v>4632577</v>
      </c>
      <c r="C10" t="s">
        <v>120</v>
      </c>
      <c r="D10" t="str">
        <f t="shared" si="0"/>
        <v>4632577,</v>
      </c>
    </row>
    <row r="11" spans="1:29" x14ac:dyDescent="0.25">
      <c r="A11" s="27" t="s">
        <v>116</v>
      </c>
      <c r="B11" s="27">
        <v>4454401</v>
      </c>
      <c r="C11" t="s">
        <v>120</v>
      </c>
      <c r="D11" t="str">
        <f t="shared" si="0"/>
        <v>4454401,</v>
      </c>
    </row>
    <row r="12" spans="1:29" x14ac:dyDescent="0.25">
      <c r="A12" s="27" t="s">
        <v>117</v>
      </c>
      <c r="B12" s="27">
        <v>6412545</v>
      </c>
      <c r="C12" t="s">
        <v>120</v>
      </c>
      <c r="D12" t="str">
        <f t="shared" si="0"/>
        <v>6412545,</v>
      </c>
    </row>
    <row r="13" spans="1:29" x14ac:dyDescent="0.25">
      <c r="A13" s="27" t="s">
        <v>119</v>
      </c>
      <c r="B13" s="27">
        <v>3529217</v>
      </c>
      <c r="C13" t="s">
        <v>120</v>
      </c>
      <c r="D13" t="str">
        <f t="shared" si="0"/>
        <v>3529217,</v>
      </c>
    </row>
    <row r="14" spans="1:29" x14ac:dyDescent="0.25">
      <c r="A14" s="27" t="s">
        <v>67</v>
      </c>
      <c r="B14" s="27">
        <v>3329</v>
      </c>
      <c r="C14" t="s">
        <v>120</v>
      </c>
      <c r="D14" t="str">
        <f t="shared" si="0"/>
        <v>3329,</v>
      </c>
    </row>
    <row r="15" spans="1:29" x14ac:dyDescent="0.25">
      <c r="A15" s="27" t="s">
        <v>134</v>
      </c>
      <c r="B15" s="27">
        <v>348929</v>
      </c>
      <c r="C15" t="s">
        <v>120</v>
      </c>
      <c r="D15" t="str">
        <f t="shared" si="0"/>
        <v>348929,</v>
      </c>
    </row>
    <row r="16" spans="1:29" x14ac:dyDescent="0.25">
      <c r="A16" s="27" t="s">
        <v>66</v>
      </c>
      <c r="B16" s="27">
        <v>2939649</v>
      </c>
      <c r="C16" t="s">
        <v>120</v>
      </c>
      <c r="D16" t="str">
        <f t="shared" si="0"/>
        <v>2939649,</v>
      </c>
    </row>
    <row r="17" spans="1:4" x14ac:dyDescent="0.25">
      <c r="A17" s="27" t="s">
        <v>135</v>
      </c>
      <c r="B17" s="27">
        <v>3924993</v>
      </c>
      <c r="C17" t="s">
        <v>120</v>
      </c>
      <c r="D17" t="str">
        <f t="shared" si="0"/>
        <v>3924993,</v>
      </c>
    </row>
    <row r="18" spans="1:4" x14ac:dyDescent="0.25">
      <c r="A18" s="27" t="s">
        <v>136</v>
      </c>
      <c r="B18" s="27">
        <v>6957057</v>
      </c>
      <c r="C18" t="s">
        <v>120</v>
      </c>
      <c r="D18" t="str">
        <f t="shared" si="0"/>
        <v>6957057,</v>
      </c>
    </row>
    <row r="19" spans="1:4" x14ac:dyDescent="0.25">
      <c r="A19" s="27" t="s">
        <v>137</v>
      </c>
      <c r="B19" s="27">
        <v>3660545</v>
      </c>
      <c r="C19" t="s">
        <v>120</v>
      </c>
      <c r="D19" t="str">
        <f t="shared" si="0"/>
        <v>3660545,</v>
      </c>
    </row>
    <row r="20" spans="1:4" x14ac:dyDescent="0.25">
      <c r="A20" s="24" t="s">
        <v>3</v>
      </c>
      <c r="B20" s="55">
        <v>40193</v>
      </c>
      <c r="C20" t="s">
        <v>120</v>
      </c>
      <c r="D20" t="str">
        <f t="shared" si="0"/>
        <v>40193,</v>
      </c>
    </row>
    <row r="21" spans="1:4" x14ac:dyDescent="0.25">
      <c r="A21" s="24" t="s">
        <v>148</v>
      </c>
      <c r="B21" s="24">
        <v>2865921</v>
      </c>
      <c r="C21" t="s">
        <v>120</v>
      </c>
      <c r="D21" t="str">
        <f t="shared" si="0"/>
        <v>2865921,</v>
      </c>
    </row>
    <row r="22" spans="1:4" x14ac:dyDescent="0.25">
      <c r="A22" t="s">
        <v>12</v>
      </c>
      <c r="B22" s="10">
        <v>502785</v>
      </c>
      <c r="C22" t="s">
        <v>120</v>
      </c>
      <c r="D22" t="str">
        <f t="shared" ref="D22:D24" si="1">CONCATENATE(B22,C22)</f>
        <v>502785,</v>
      </c>
    </row>
    <row r="23" spans="1:4" x14ac:dyDescent="0.25">
      <c r="A23" s="24" t="s">
        <v>150</v>
      </c>
      <c r="B23" s="24">
        <v>3001089</v>
      </c>
      <c r="C23" t="s">
        <v>120</v>
      </c>
      <c r="D23" t="str">
        <f t="shared" si="1"/>
        <v>3001089,</v>
      </c>
    </row>
    <row r="24" spans="1:4" x14ac:dyDescent="0.25">
      <c r="A24" s="24" t="s">
        <v>151</v>
      </c>
      <c r="B24" s="24">
        <v>4843777</v>
      </c>
      <c r="C24" t="s">
        <v>120</v>
      </c>
      <c r="D24" t="str">
        <f t="shared" si="1"/>
        <v>4843777,</v>
      </c>
    </row>
  </sheetData>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LEARNINGS</vt:lpstr>
      <vt:lpstr>Sheet1</vt:lpstr>
      <vt:lpstr>trade</vt:lpstr>
      <vt:lpstr>Stocks to track</vt:lpstr>
      <vt:lpstr>Sheet2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2025-10-29T20:54:54Z</dcterms:created>
  <dcterms:modified xsi:type="dcterms:W3CDTF">2025-11-11T06:18:08Z</dcterms:modified>
</cp:coreProperties>
</file>