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working\2024\Zerodha\breeze_data_service\src\"/>
    </mc:Choice>
  </mc:AlternateContent>
  <bookViews>
    <workbookView xWindow="0" yWindow="0" windowWidth="20490" windowHeight="7755" activeTab="2"/>
  </bookViews>
  <sheets>
    <sheet name="LEARNINGS" sheetId="4" r:id="rId1"/>
    <sheet name="Sheet1" sheetId="1" r:id="rId2"/>
    <sheet name="trade" sheetId="2" r:id="rId3"/>
    <sheet name="Sheet2" sheetId="5" r:id="rId4"/>
    <sheet name="Sheet3" sheetId="6" r:id="rId5"/>
  </sheets>
  <definedNames>
    <definedName name="_xlnm._FilterDatabase" localSheetId="1" hidden="1">Sheet1!$A$1:$L$64</definedName>
    <definedName name="_xlnm._FilterDatabase" localSheetId="2" hidden="1">trade!$A$1:$X$41</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40" i="2" l="1"/>
  <c r="M40" i="2" s="1"/>
  <c r="K40" i="2"/>
  <c r="Q11" i="6"/>
  <c r="Q10" i="6"/>
  <c r="L39" i="2"/>
  <c r="M39" i="2" s="1"/>
  <c r="K39" i="2"/>
  <c r="L38" i="2"/>
  <c r="M38" i="2" s="1"/>
  <c r="K38" i="2"/>
  <c r="L36" i="2" l="1"/>
  <c r="M36" i="2" s="1"/>
  <c r="L37" i="2"/>
  <c r="M37" i="2" s="1"/>
  <c r="K37" i="2"/>
  <c r="K36" i="2"/>
  <c r="H39" i="5"/>
  <c r="H38" i="5"/>
  <c r="H37" i="5"/>
  <c r="H36" i="5"/>
  <c r="H35" i="5"/>
  <c r="H34" i="5"/>
  <c r="H33" i="5"/>
  <c r="H32" i="5"/>
  <c r="H31" i="5"/>
  <c r="H30" i="5"/>
  <c r="H28" i="5"/>
  <c r="H27" i="5"/>
  <c r="D35" i="5"/>
  <c r="D36" i="5"/>
  <c r="D37" i="5"/>
  <c r="D30" i="5" l="1"/>
  <c r="D31" i="5"/>
  <c r="D32" i="5"/>
  <c r="D33" i="5"/>
  <c r="D34" i="5"/>
  <c r="I15" i="6"/>
  <c r="I13" i="6"/>
  <c r="N11" i="6"/>
  <c r="N10" i="6"/>
  <c r="K3" i="6"/>
  <c r="K2" i="6"/>
  <c r="L35" i="2"/>
  <c r="M35" i="2" s="1"/>
  <c r="K35" i="2"/>
  <c r="L32" i="2"/>
  <c r="M32" i="2" s="1"/>
  <c r="L33" i="2"/>
  <c r="M33" i="2" s="1"/>
  <c r="L34" i="2"/>
  <c r="M34" i="2" s="1"/>
  <c r="L29" i="2"/>
  <c r="M29" i="2" s="1"/>
  <c r="L30" i="2"/>
  <c r="M30" i="2" s="1"/>
  <c r="L28" i="2"/>
  <c r="M28" i="2" s="1"/>
  <c r="L26" i="2"/>
  <c r="L27" i="2"/>
  <c r="M27" i="2" s="1"/>
  <c r="L22" i="2"/>
  <c r="L23" i="2"/>
  <c r="L24" i="2"/>
  <c r="L25" i="2"/>
  <c r="L21" i="2"/>
  <c r="K34" i="2"/>
  <c r="K33" i="2"/>
  <c r="K32" i="2"/>
  <c r="L31" i="2"/>
  <c r="M31" i="2" s="1"/>
  <c r="K31" i="2"/>
  <c r="K30" i="2"/>
  <c r="K29" i="2"/>
  <c r="D25" i="5"/>
  <c r="D26" i="5"/>
  <c r="D27" i="5"/>
  <c r="D28" i="5"/>
  <c r="D29" i="5"/>
  <c r="K28" i="2" l="1"/>
  <c r="K27" i="2"/>
  <c r="M26" i="2"/>
  <c r="M25" i="2"/>
  <c r="M22" i="2"/>
  <c r="M23" i="2"/>
  <c r="M21" i="2"/>
  <c r="M24" i="2"/>
  <c r="K22" i="2"/>
  <c r="K23" i="2"/>
  <c r="K24" i="2"/>
  <c r="K25" i="2"/>
  <c r="K26" i="2"/>
  <c r="D22" i="5"/>
  <c r="D23" i="5"/>
  <c r="D24" i="5"/>
  <c r="K21" i="2"/>
  <c r="D21" i="5" l="1"/>
  <c r="D3" i="5"/>
  <c r="D4" i="5"/>
  <c r="D5" i="5"/>
  <c r="D6" i="5"/>
  <c r="D7" i="5"/>
  <c r="D8" i="5"/>
  <c r="D9" i="5"/>
  <c r="D10" i="5"/>
  <c r="D11" i="5"/>
  <c r="D12" i="5"/>
  <c r="D13" i="5"/>
  <c r="D14" i="5"/>
  <c r="D15" i="5"/>
  <c r="D16" i="5"/>
  <c r="D17" i="5"/>
  <c r="D18" i="5"/>
  <c r="D19" i="5"/>
  <c r="D20" i="5"/>
  <c r="D2" i="5"/>
  <c r="N20" i="2" l="1"/>
  <c r="J20" i="2"/>
  <c r="L20" i="2" s="1"/>
  <c r="M20" i="2" s="1"/>
  <c r="N19" i="2"/>
  <c r="J19" i="2"/>
  <c r="L19" i="2" s="1"/>
  <c r="M19" i="2" s="1"/>
  <c r="O18" i="2"/>
  <c r="N18" i="2"/>
  <c r="J18" i="2"/>
  <c r="L18" i="2" s="1"/>
  <c r="M18" i="2" s="1"/>
  <c r="S17" i="2"/>
  <c r="J17" i="2"/>
  <c r="L17" i="2" s="1"/>
  <c r="M17" i="2" s="1"/>
  <c r="N3" i="2"/>
  <c r="O3" i="2"/>
  <c r="N13" i="2"/>
  <c r="J16" i="2"/>
  <c r="L16" i="2" s="1"/>
  <c r="M16" i="2" s="1"/>
  <c r="S16" i="2"/>
  <c r="J15" i="2"/>
  <c r="L15" i="2" s="1"/>
  <c r="M15" i="2" s="1"/>
  <c r="S15" i="2"/>
  <c r="J14" i="2"/>
  <c r="L14" i="2" s="1"/>
  <c r="M14" i="2" s="1"/>
  <c r="S14" i="2"/>
  <c r="S13" i="2"/>
  <c r="J13" i="2"/>
  <c r="L13" i="2" s="1"/>
  <c r="J7" i="2"/>
  <c r="L7" i="2" s="1"/>
  <c r="M7" i="2" s="1"/>
  <c r="J12" i="2"/>
  <c r="L12" i="2" s="1"/>
  <c r="M12" i="2" s="1"/>
  <c r="S12" i="2"/>
  <c r="J11" i="2"/>
  <c r="L11" i="2" s="1"/>
  <c r="M11" i="2" s="1"/>
  <c r="S11" i="2"/>
  <c r="J9" i="2"/>
  <c r="L9" i="2" s="1"/>
  <c r="M9" i="2" s="1"/>
  <c r="J10" i="2"/>
  <c r="L10" i="2" s="1"/>
  <c r="M10" i="2" s="1"/>
  <c r="S10" i="2"/>
  <c r="S9" i="2"/>
  <c r="J8" i="2"/>
  <c r="L8" i="2" s="1"/>
  <c r="M8" i="2" s="1"/>
  <c r="S8" i="2"/>
  <c r="S7" i="2"/>
  <c r="S5" i="2"/>
  <c r="J6" i="2"/>
  <c r="L6" i="2" s="1"/>
  <c r="M6" i="2" s="1"/>
  <c r="S6" i="2"/>
  <c r="J5" i="2"/>
  <c r="L5" i="2" s="1"/>
  <c r="M5" i="2" s="1"/>
  <c r="M13" i="2" l="1"/>
  <c r="S4" i="2" l="1"/>
  <c r="S3" i="2"/>
  <c r="S2" i="2"/>
  <c r="K4" i="2" l="1"/>
  <c r="J4" i="2" s="1"/>
  <c r="L4" i="2" s="1"/>
  <c r="M4" i="2" s="1"/>
  <c r="K3" i="2"/>
  <c r="J3" i="2" s="1"/>
  <c r="K2" i="2"/>
  <c r="J2" i="2" s="1"/>
  <c r="L2" i="2" s="1"/>
  <c r="M2" i="2" s="1"/>
  <c r="L3" i="2" l="1"/>
  <c r="M3" i="2" s="1"/>
</calcChain>
</file>

<file path=xl/sharedStrings.xml><?xml version="1.0" encoding="utf-8"?>
<sst xmlns="http://schemas.openxmlformats.org/spreadsheetml/2006/main" count="474" uniqueCount="220">
  <si>
    <t>Adani Power</t>
  </si>
  <si>
    <t>Down Pressure, keep tracking hourly and daily volume delta. Great possiblity of reversal.</t>
  </si>
  <si>
    <t>close</t>
  </si>
  <si>
    <t>apollo hos</t>
  </si>
  <si>
    <t>cvd</t>
  </si>
  <si>
    <t>brittania</t>
  </si>
  <si>
    <t>if no downward one can enter trade. Only issue vwap gone down from start of day</t>
  </si>
  <si>
    <t>cipla</t>
  </si>
  <si>
    <t>godcon</t>
  </si>
  <si>
    <t>Long</t>
  </si>
  <si>
    <t>iciclom</t>
  </si>
  <si>
    <t>don't enter already high</t>
  </si>
  <si>
    <t>trent</t>
  </si>
  <si>
    <t>tvsmot</t>
  </si>
  <si>
    <t>qty</t>
  </si>
  <si>
    <t>Working Capital</t>
  </si>
  <si>
    <t>Max capital allocation</t>
  </si>
  <si>
    <t>Buy Price</t>
  </si>
  <si>
    <t>Market Price</t>
  </si>
  <si>
    <t>Profit/Loss</t>
  </si>
  <si>
    <t>buy/sell</t>
  </si>
  <si>
    <t>buy</t>
  </si>
  <si>
    <t>stop loss</t>
  </si>
  <si>
    <t>Commentary</t>
  </si>
  <si>
    <t>position</t>
  </si>
  <si>
    <t>open</t>
  </si>
  <si>
    <t>Paper Trade Date</t>
  </si>
  <si>
    <t>Today EOD</t>
  </si>
  <si>
    <t>percentage</t>
  </si>
  <si>
    <t>exit price</t>
  </si>
  <si>
    <t>31/10:  due to average result dclared and change in managemt price went down, however putting stop loss at 1520 to avoid too much loss on this trade
30/10: First hour price gone to 1561, vwap gone to 1566.87</t>
  </si>
  <si>
    <t>voltas</t>
  </si>
  <si>
    <t>tube investment of india</t>
  </si>
  <si>
    <t>Max Health</t>
  </si>
  <si>
    <t>mahindra and mahindra</t>
  </si>
  <si>
    <t>dr reddy</t>
  </si>
  <si>
    <t>dabur india</t>
  </si>
  <si>
    <t>31/10:  Feel not going to move much, stuck at 159. at 1pm price is now at 158
31/10: doesn't show too much promise, and in general news is also not for great uptrend, so will close position at 165.8 based on todays high</t>
  </si>
  <si>
    <t>coming down from 1211, result expectted on 4th Nov. So skip it</t>
  </si>
  <si>
    <t>Mahindra &amp; Mahindra</t>
  </si>
  <si>
    <t>coming down from 3625, nov 4th results</t>
  </si>
  <si>
    <t>sell</t>
  </si>
  <si>
    <t>since going down badly stop loss at 1520, should check the result events etxc</t>
  </si>
  <si>
    <t>closed</t>
  </si>
  <si>
    <t>1/11: Holding the price at 3487 not much down, selling pressure is limited</t>
  </si>
  <si>
    <t>Event</t>
  </si>
  <si>
    <t xml:space="preserve">because of regulatory news price declined, need to look at new balance </t>
  </si>
  <si>
    <t>Hero Honda</t>
  </si>
  <si>
    <t>Torrential Pharma</t>
  </si>
  <si>
    <t>3/11: vwap is at 380, at 390 selling has happened.??? Atr is at 60 can be ignored</t>
  </si>
  <si>
    <t>ITC Hotel</t>
  </si>
  <si>
    <t>bharat dynamics</t>
  </si>
  <si>
    <t>3/11: after one hour of traiding still vwap at 217.58 doesn't seem to have any trend</t>
  </si>
  <si>
    <t>exit date</t>
  </si>
  <si>
    <t>Closed</t>
  </si>
  <si>
    <r>
      <rPr>
        <b/>
        <sz val="11"/>
        <color rgb="FFFF0000"/>
        <rFont val="Calibri"/>
        <family val="2"/>
        <scheme val="minor"/>
      </rPr>
      <t>3/11: Missed the reversal as I din't observe change in momentum</t>
    </r>
    <r>
      <rPr>
        <sz val="11"/>
        <color theme="1"/>
        <rFont val="Calibri"/>
        <family val="2"/>
        <scheme val="minor"/>
      </rPr>
      <t xml:space="preserve">
strong downward pressure keep monitoring&gt;</t>
    </r>
  </si>
  <si>
    <t>--3/11: result is pending, not sure which direction so keeping out of it till result is announced. Result date is 7/11
don't enter already high</t>
  </si>
  <si>
    <t>3/11:  '--vwap 490 seeing reversal, hench entering at 490 3/11 12 pm</t>
  </si>
  <si>
    <t>event</t>
  </si>
  <si>
    <t>DON’T Track</t>
  </si>
  <si>
    <t>L&amp;T</t>
  </si>
  <si>
    <t>ABB</t>
  </si>
  <si>
    <t>--3/11: vwap 490 seeing reversal, hench entering at 490 3/11 12 pm
'-- Inspite positive result, may be not as per analyst, price went down. Can look for reversal sign
Closed at 487.55 with VWAP 490, may go around 480.. Try see sign for reversal</t>
  </si>
  <si>
    <t>--3/11: Felt achieved target for more than 2 percent. So closed position. However vwap was as below
 0    490.00
1    490.04
2    490.41
3    490.90
4    492.44
5    492.92… lets see if it continues or is at peak</t>
  </si>
  <si>
    <t>4/11--&gt; though close price on 3/11 was 3043, however vwap was at 3032. And volume was also  low in upswing. Expecting it to move in range of 3030 before any trend
coming down from 3200 --&gt; 3044--&gt;3023</t>
  </si>
  <si>
    <t>Tracking</t>
  </si>
  <si>
    <t>--4/11.. 7781 just checked
strong downward pressure keep monitoring. 7858--&gt;7681  ( Nov 7th Result date)</t>
  </si>
  <si>
    <t>NotTracking</t>
  </si>
  <si>
    <t>Axis Bank</t>
  </si>
  <si>
    <t>NTPC</t>
  </si>
  <si>
    <t>Tata Communication</t>
  </si>
  <si>
    <t>MaxHealth</t>
  </si>
  <si>
    <t>ntpc</t>
  </si>
  <si>
    <t>Bharat Dynamic</t>
  </si>
  <si>
    <t>-- 4/11: closed at 2pm just to book 2 percent profit.. And saw slight resistance in hourly candle
-- ideally should have bought at 1990, waited for one more round of confirmation. Whereas dabur I entered as soon I saw reversal</t>
  </si>
  <si>
    <r>
      <rPr>
        <b/>
        <sz val="11"/>
        <color theme="1"/>
        <rFont val="Calibri"/>
        <family val="2"/>
        <scheme val="minor"/>
      </rPr>
      <t>3. Desperation to trade and one gets into wrong trade, volume reduced little bit but price was going down only</t>
    </r>
    <r>
      <rPr>
        <sz val="11"/>
        <color theme="1"/>
        <rFont val="Calibri"/>
        <family val="2"/>
        <scheme val="minor"/>
      </rPr>
      <t xml:space="preserve">
2. bad day lost almost 3%, Q2 FY2026 results announced, which may caused the drop
1. No clear signal</t>
    </r>
  </si>
  <si>
    <t>4/11: NEVER TRADE IN THIS STRATEGY BASED ON FUNDAMENTAL news, CHART should support strategy
3/11: Because of good numbers for electric scooter, lets see if there is upside</t>
  </si>
  <si>
    <t>Don't place Limit order before start of day. Look at morning status.</t>
  </si>
  <si>
    <t xml:space="preserve"> Please always check volume, price. Even if slowdown in drop in price shouldn't enter as REVERSAL is not seen yet</t>
  </si>
  <si>
    <t xml:space="preserve"> Don’t mix fundamental analysis this STRATEGY is primarily based on chart. Not on fundamental analysis, fundamental analysis should just only be TO RULE OUT ANY STOCK</t>
  </si>
  <si>
    <t>samvardhna motherson</t>
  </si>
  <si>
    <t>-- till 4/11 price is under pressure, will continue to watch for change in trend to uptrend</t>
  </si>
  <si>
    <t>Market VWAP</t>
  </si>
  <si>
    <t>Buy VWAp</t>
  </si>
  <si>
    <t>Name</t>
  </si>
  <si>
    <t>Token</t>
  </si>
  <si>
    <t>6/11: 4/11 still feel downward pressure..
coming down from 1455--&gt; touchin 1400. Result expected in 1st week of nov most likely will go down</t>
  </si>
  <si>
    <t>-- 6/11: price moved to 6075, put trigger on 6031 to retain 3 percentage points and in case it moves further up need to adjust. Check after every hour
3/11: seem less pressure down so hold it
1/11: price gone down but minimal sell pressure, vwap is holding.
31/10:price went down to 5800, should have bought at that level, in the end it is showing -CVD which is not sure if correct. Volume doubled, selling does happen. However looking at 1 day candle it is green umbrella at bottom and vwap also increased from 1st tick to last tick.. BUT VWAP is at 5818 whereas mkt price 5859.. so no clear direction
30/10: First hour price gone to 5801, vwap gone to 5808</t>
  </si>
  <si>
    <t>Current Vwad</t>
  </si>
  <si>
    <t xml:space="preserve">start vwap </t>
  </si>
  <si>
    <t>-- I couldn't realize and it went down rapidly, sold at market price</t>
  </si>
  <si>
    <t>-- 6/11: vwap moved to 3474 major downtrend
--6/11: 4/11 trend changed to uptrend. Check for continuity on 6/11
down pressure, price is high anyways</t>
  </si>
  <si>
    <r>
      <t xml:space="preserve">--6/11: major drop in first hour. </t>
    </r>
    <r>
      <rPr>
        <sz val="11"/>
        <rFont val="Calibri"/>
        <family val="2"/>
        <scheme val="minor"/>
      </rPr>
      <t>Exited</t>
    </r>
    <r>
      <rPr>
        <sz val="11"/>
        <color rgb="FFC00000"/>
        <rFont val="Calibri"/>
        <family val="2"/>
        <scheme val="minor"/>
      </rPr>
      <t xml:space="preserve">
--4/11: really don't know why I entered the stock
--4/11:  however should have check recovery volume was very low, should I enter when volume is low. I entered on 4/11 at 1532
--3/11: 2:30pm downward pressure slowing down, last price 1521. However recent low was 1515
downward pressure is continuing</t>
    </r>
  </si>
  <si>
    <r>
      <t xml:space="preserve">-- 6/11: </t>
    </r>
    <r>
      <rPr>
        <sz val="11"/>
        <color rgb="FF00B050"/>
        <rFont val="Calibri"/>
        <family val="2"/>
        <scheme val="minor"/>
      </rPr>
      <t>at 1:10pm put exit condition if touches 104.8 sell at 104.7</t>
    </r>
    <r>
      <rPr>
        <sz val="11"/>
        <color theme="1"/>
        <rFont val="Calibri"/>
        <family val="2"/>
        <scheme val="minor"/>
      </rPr>
      <t xml:space="preserve">
--6/11: Observed for couple of days high volume transaction move sstock by .2 paise.. Looks like a resistance level.</t>
    </r>
  </si>
  <si>
    <t>-- how can I enter ntpc it is just going down. LOOKS LIKE OPERATIONAL ISSUE
--4/11.. vwap 345 on 30/10, vwap 331 on 4/11</t>
  </si>
  <si>
    <r>
      <t xml:space="preserve">-- how can I enter ntpc it is just going down. </t>
    </r>
    <r>
      <rPr>
        <sz val="11"/>
        <color rgb="FFFF0000"/>
        <rFont val="Calibri"/>
        <family val="2"/>
        <scheme val="minor"/>
      </rPr>
      <t>LOOKS LIKE OPERATIONAL ISSUE</t>
    </r>
  </si>
  <si>
    <t>-- within 2 hours position closed</t>
  </si>
  <si>
    <t>ACC</t>
  </si>
  <si>
    <t>chola investment</t>
  </si>
  <si>
    <t>container corporation</t>
  </si>
  <si>
    <t>Grasim</t>
  </si>
  <si>
    <t>HDFSTA</t>
  </si>
  <si>
    <t>India hotel</t>
  </si>
  <si>
    <t>info edge(naukri)</t>
  </si>
  <si>
    <t>JSW Energy</t>
  </si>
  <si>
    <t>Jubilian Food</t>
  </si>
  <si>
    <t>national aluminium</t>
  </si>
  <si>
    <t>NHPC</t>
  </si>
  <si>
    <t>Premier Energies</t>
  </si>
  <si>
    <t>RECLimited</t>
  </si>
  <si>
    <t>torrent power</t>
  </si>
  <si>
    <t>,</t>
  </si>
  <si>
    <t>2170625,</t>
  </si>
  <si>
    <t>951809,</t>
  </si>
  <si>
    <t>5728513,</t>
  </si>
  <si>
    <t>424961,</t>
  </si>
  <si>
    <t>5633,</t>
  </si>
  <si>
    <t>3520257,</t>
  </si>
  <si>
    <t>235.14 buy.. 236.7 sell</t>
  </si>
  <si>
    <t>Hindalco</t>
  </si>
  <si>
    <t>nmdc</t>
  </si>
  <si>
    <t>NTPC Green Energy</t>
  </si>
  <si>
    <t>Power Finance</t>
  </si>
  <si>
    <t>3329,</t>
  </si>
  <si>
    <t>348929,</t>
  </si>
  <si>
    <t>2939649,</t>
  </si>
  <si>
    <t>3924993,</t>
  </si>
  <si>
    <t>6957057,</t>
  </si>
  <si>
    <t>3660545,</t>
  </si>
  <si>
    <t>NMDC</t>
  </si>
  <si>
    <t>TVSMotor</t>
  </si>
  <si>
    <t>Voltas</t>
  </si>
  <si>
    <t>Naukri</t>
  </si>
  <si>
    <t>Interglobe aviation</t>
  </si>
  <si>
    <t>Major bearish</t>
  </si>
  <si>
    <t>jswste</t>
  </si>
  <si>
    <t>varun</t>
  </si>
  <si>
    <t>40193,</t>
  </si>
  <si>
    <t>502785,</t>
  </si>
  <si>
    <t>3001089,</t>
  </si>
  <si>
    <t>4843777,</t>
  </si>
  <si>
    <t>NTPC Green</t>
  </si>
  <si>
    <t>downward trend continuing</t>
  </si>
  <si>
    <t>Entered at slightly high value, day of entering was fine</t>
  </si>
  <si>
    <t>11-11: missed the bus</t>
  </si>
  <si>
    <t>ITC</t>
  </si>
  <si>
    <t>INDHotel</t>
  </si>
  <si>
    <t>11-11: missed the bus, should have checked on 10-11</t>
  </si>
  <si>
    <t>--  couldn't possible to avoid this entry point at 3491.. Just need to see if trend reverses</t>
  </si>
  <si>
    <t>don't look at spike in volume to enter, as it moves the price considerably</t>
  </si>
  <si>
    <t>--given it is a subsidiary of ntpc with new business line, don't expect too much uptrend. Set limit order to sell at 98.96 based on last week OHLC and exit this company</t>
  </si>
  <si>
    <t>TatGlo (tata consumer)</t>
  </si>
  <si>
    <t>SWILIM( Swiggy)</t>
  </si>
  <si>
    <t>AUSMA (AU Small bank)</t>
  </si>
  <si>
    <t>Fortea(fortis healthcare)</t>
  </si>
  <si>
    <t>TATCOM</t>
  </si>
  <si>
    <t>7488257,</t>
  </si>
  <si>
    <t>2883073,</t>
  </si>
  <si>
    <t>6928897,</t>
  </si>
  <si>
    <t>5436929,</t>
  </si>
  <si>
    <t>3735553,</t>
  </si>
  <si>
    <t>952577,</t>
  </si>
  <si>
    <t xml:space="preserve"> 12-11: waas about to enter trade but message that iGL is moving out of Derivatives, which meant short term volatiliity as strategy is not designed for same I am not entering</t>
  </si>
  <si>
    <t>Trent</t>
  </si>
  <si>
    <t>-- though it has gone up little bit, saw stuck at vwap 98.4 for 2 hours hence exited with .66 percent in two days</t>
  </si>
  <si>
    <t>Jiofin</t>
  </si>
  <si>
    <t>-- compared with week it is downturn,  though in between price reached upto 380 bbut I didn't close then, now eventually I closed thinking it will not cross 3491 in near future</t>
  </si>
  <si>
    <t>ITCHotels</t>
  </si>
  <si>
    <t>-- 12/11:  day candle was in uptrend only, I felt i exited early just by thinking  that i entered little late and may be it will loose steam after today, however this loose the opportunity of really good uptrend. Let us montior after 2-3 days what is status.--11/11 I bought when buying pressure happened and price shot I was expecting a good percent on same day, however it has gone down. However on day chart it looks good, may be in next 2 -3 days it will go up</t>
  </si>
  <si>
    <t>varun (VBL)</t>
  </si>
  <si>
    <t>-- my code says it is bullish reversal lets see on 13-11</t>
  </si>
  <si>
    <t>Divi S Lab (DIVLAB)</t>
  </si>
  <si>
    <t>4644609,</t>
  </si>
  <si>
    <t>2800641,</t>
  </si>
  <si>
    <t xml:space="preserve">--13/11: gone down to 957
--12/11: It looks like support at 970. </t>
  </si>
  <si>
    <t>--13/11: I exited on 12/11 based on some hunch, which was not supported by chart and on 13th it has gone up by 2 percent
--11/11 I bought when buying pressure happened and price shot I was expecting a good percent on same day, however it has gone down. However on day chart it looks good, may be in next 2 -3 days it will go up</t>
  </si>
  <si>
    <t xml:space="preserve">hindalco: big jump down and 2-3 days later small jump back not good option
downward trend continuing.
</t>
  </si>
  <si>
    <t>-- 13/11: Doesn’t look bad investment, should let it go up in 3-4 days</t>
  </si>
  <si>
    <t>-- 13/11: looks good decision, no one is willing to sell at this price</t>
  </si>
  <si>
    <t>IGL</t>
  </si>
  <si>
    <t>-- 17/11: Looks possible uptrend on Monday, track it
downward trend continuing</t>
  </si>
  <si>
    <t>DIVISLAB</t>
  </si>
  <si>
    <t>taxable value of supply</t>
  </si>
  <si>
    <t>eschange transaction charge</t>
  </si>
  <si>
    <t>IGST (@18% of Brok, SEBI, Trans &amp; Clearing Charges) (₹)</t>
  </si>
  <si>
    <t>Securities transaction tax (₹)</t>
  </si>
  <si>
    <t>sebi TURNOVER FEE</t>
  </si>
  <si>
    <t>Stamp Duty</t>
  </si>
  <si>
    <t>Net Payable</t>
  </si>
  <si>
    <t>Pecentage charged</t>
  </si>
  <si>
    <t>Total price</t>
  </si>
  <si>
    <t>buy 3 diff securiteis</t>
  </si>
  <si>
    <t xml:space="preserve">Supreme Industries </t>
  </si>
  <si>
    <t>SUPIND</t>
  </si>
  <si>
    <t>16-11: Downward</t>
  </si>
  <si>
    <t>PI Industries</t>
  </si>
  <si>
    <t>PIIND</t>
  </si>
  <si>
    <t>The Phoenix Mills</t>
  </si>
  <si>
    <t>PHOMIL</t>
  </si>
  <si>
    <t>APLAPO</t>
  </si>
  <si>
    <t>APL Apolloe Tubes</t>
  </si>
  <si>
    <t>Volume less, but price has gone slightly up.. 
--17/11:  last three days vwap has gone down only, monitor on 17th</t>
  </si>
  <si>
    <t>860929,</t>
  </si>
  <si>
    <t>6191105,</t>
  </si>
  <si>
    <t>3725313,</t>
  </si>
  <si>
    <t>6599681,</t>
  </si>
  <si>
    <t>-- was correct it moved up 2 percent, however I missed it
-- 17/11: should buy</t>
  </si>
  <si>
    <t>17-11: hold to position
11-11:maybe turning</t>
  </si>
  <si>
    <t>PFC</t>
  </si>
  <si>
    <t>ApolloHos</t>
  </si>
  <si>
    <t>HDFBAN</t>
  </si>
  <si>
    <t>HERHON</t>
  </si>
  <si>
    <t>HeroMotoCo</t>
  </si>
  <si>
    <t>-- 17-11-2025   volume very less at rebound,, vwap moved from 7414 to 7470 but volume is low and vwap is going down slowly. So still may be bearish pressure
downward trend continuing</t>
  </si>
  <si>
    <t>17-11 there was a bullish breakout on 14/11, I already had someposition waiting for bull ru to be over to sell</t>
  </si>
  <si>
    <t>-- 17-11: Increase in volume is with decrease in price. And incrrease in price is with decrease in volume. So overall looks bearish though candle shows upward trend</t>
  </si>
  <si>
    <t>VBL</t>
  </si>
  <si>
    <t>--17/11: Looks uptrend see next couple of days
-- 6/11: Entry logic looks correct but  trade may not go in favour</t>
  </si>
  <si>
    <t>17/11: Looks uptrend
17/11: 14 th nove moved up by end it started pulling down, however day candle seem bbullish so lets monitor on 17th
14/11: paitence of 3 days seem to have worked price are around 1369 and looks uptredn
11/11: At best price could have been less then 1359.. However it seems this time strategy failed.</t>
  </si>
  <si>
    <t>17/11: Need to monitor.. TODAY vwap has gone up</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</si>
</sst>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1"/>
      <color rgb="FFB5CEA8"/>
      <name val="Consolas"/>
      <family val="3"/>
    </font>
    <font>
      <b/>
      <sz val="11"/>
      <color theme="1"/>
      <name val="Calibri"/>
      <family val="2"/>
      <scheme val="minor"/>
    </font>
    <font>
      <sz val="11"/>
      <color rgb="FFFF0000"/>
      <name val="Calibri"/>
      <family val="2"/>
      <scheme val="minor"/>
    </font>
    <font>
      <sz val="11"/>
      <name val="Calibri"/>
      <family val="2"/>
      <scheme val="minor"/>
    </font>
    <font>
      <sz val="11"/>
      <name val="Consolas"/>
      <family val="3"/>
    </font>
    <font>
      <b/>
      <sz val="11"/>
      <name val="Calibri"/>
      <family val="2"/>
      <scheme val="minor"/>
    </font>
    <font>
      <b/>
      <sz val="11"/>
      <color rgb="FFFF0000"/>
      <name val="Calibri"/>
      <family val="2"/>
      <scheme val="minor"/>
    </font>
    <font>
      <sz val="11"/>
      <color rgb="FF92D050"/>
      <name val="Calibri"/>
      <family val="2"/>
      <scheme val="minor"/>
    </font>
    <font>
      <sz val="11"/>
      <color rgb="FFFF0000"/>
      <name val="Consolas"/>
      <family val="3"/>
    </font>
    <font>
      <sz val="11"/>
      <color rgb="FFC00000"/>
      <name val="Calibri"/>
      <family val="2"/>
      <scheme val="minor"/>
    </font>
    <font>
      <sz val="11"/>
      <color rgb="FF00B050"/>
      <name val="Calibri"/>
      <family val="2"/>
      <scheme val="minor"/>
    </font>
    <font>
      <sz val="11"/>
      <color rgb="FF00B050"/>
      <name val="Consolas"/>
      <family val="3"/>
    </font>
  </fonts>
  <fills count="6">
    <fill>
      <patternFill patternType="none"/>
    </fill>
    <fill>
      <patternFill patternType="gray125"/>
    </fill>
    <fill>
      <patternFill patternType="solid">
        <fgColor rgb="FF92D050"/>
        <bgColor indexed="64"/>
      </patternFill>
    </fill>
    <fill>
      <patternFill patternType="solid">
        <fgColor rgb="FFFF0000"/>
        <bgColor indexed="64"/>
      </patternFill>
    </fill>
    <fill>
      <patternFill patternType="solid">
        <fgColor theme="0" tint="-0.24997711111789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6">
    <xf numFmtId="0" fontId="0" fillId="0" borderId="0" xfId="0"/>
    <xf numFmtId="14" fontId="0" fillId="0" borderId="0" xfId="0" applyNumberFormat="1"/>
    <xf numFmtId="14" fontId="0" fillId="2" borderId="0" xfId="0" applyNumberFormat="1" applyFill="1"/>
    <xf numFmtId="14" fontId="0" fillId="3" borderId="0" xfId="0" applyNumberFormat="1" applyFill="1"/>
    <xf numFmtId="0" fontId="1" fillId="0" borderId="0" xfId="0" applyFont="1" applyAlignment="1">
      <alignment vertical="center"/>
    </xf>
    <xf numFmtId="0" fontId="0" fillId="3" borderId="0" xfId="0" applyFill="1"/>
    <xf numFmtId="0" fontId="0" fillId="0" borderId="0" xfId="0" applyAlignment="1">
      <alignment wrapText="1"/>
    </xf>
    <xf numFmtId="0" fontId="0" fillId="0" borderId="1" xfId="0" applyBorder="1"/>
    <xf numFmtId="0" fontId="2" fillId="4" borderId="1" xfId="0" applyFont="1" applyFill="1" applyBorder="1"/>
    <xf numFmtId="14" fontId="0" fillId="0" borderId="0" xfId="0" applyNumberFormat="1" applyFill="1"/>
    <xf numFmtId="0" fontId="4" fillId="0" borderId="0" xfId="0" applyFont="1"/>
    <xf numFmtId="0" fontId="3" fillId="0" borderId="0" xfId="0" applyFont="1"/>
    <xf numFmtId="0" fontId="4" fillId="0" borderId="0" xfId="0" applyFont="1" applyFill="1"/>
    <xf numFmtId="0" fontId="4" fillId="3" borderId="0" xfId="0" applyFont="1" applyFill="1"/>
    <xf numFmtId="0" fontId="0" fillId="0" borderId="0" xfId="0" applyFill="1"/>
    <xf numFmtId="0" fontId="5" fillId="0" borderId="0" xfId="0" applyFont="1" applyAlignment="1">
      <alignment vertical="center"/>
    </xf>
    <xf numFmtId="0" fontId="6" fillId="4" borderId="1" xfId="0" applyFont="1" applyFill="1" applyBorder="1"/>
    <xf numFmtId="14" fontId="0" fillId="2" borderId="1" xfId="0" applyNumberFormat="1" applyFill="1" applyBorder="1"/>
    <xf numFmtId="14" fontId="0" fillId="0" borderId="1" xfId="0" applyNumberFormat="1" applyBorder="1"/>
    <xf numFmtId="14" fontId="0" fillId="0" borderId="1" xfId="0" applyNumberFormat="1" applyFill="1" applyBorder="1"/>
    <xf numFmtId="0" fontId="5" fillId="0" borderId="1" xfId="0" applyFont="1" applyBorder="1" applyAlignment="1">
      <alignment vertical="center"/>
    </xf>
    <xf numFmtId="0" fontId="0" fillId="0" borderId="1" xfId="0" applyBorder="1" applyAlignment="1">
      <alignment wrapText="1"/>
    </xf>
    <xf numFmtId="0" fontId="0" fillId="0" borderId="1" xfId="0" applyFill="1" applyBorder="1"/>
    <xf numFmtId="0" fontId="0" fillId="0" borderId="1" xfId="0" applyBorder="1" applyAlignment="1">
      <alignment vertical="top" wrapText="1"/>
    </xf>
    <xf numFmtId="0" fontId="4" fillId="0" borderId="1" xfId="0" applyFont="1" applyBorder="1"/>
    <xf numFmtId="14" fontId="4" fillId="3" borderId="0" xfId="0" applyNumberFormat="1" applyFont="1" applyFill="1"/>
    <xf numFmtId="0" fontId="0" fillId="0" borderId="0" xfId="0" quotePrefix="1" applyAlignment="1">
      <alignment wrapText="1"/>
    </xf>
    <xf numFmtId="0" fontId="4" fillId="0" borderId="1" xfId="0" applyFont="1" applyFill="1" applyBorder="1"/>
    <xf numFmtId="0" fontId="0" fillId="0" borderId="1" xfId="0" quotePrefix="1" applyBorder="1"/>
    <xf numFmtId="0" fontId="0" fillId="0" borderId="1" xfId="0" quotePrefix="1" applyBorder="1" applyAlignment="1">
      <alignment wrapText="1"/>
    </xf>
    <xf numFmtId="0" fontId="8" fillId="0" borderId="0" xfId="0" applyFont="1"/>
    <xf numFmtId="0" fontId="0" fillId="3" borderId="1" xfId="0" applyFill="1" applyBorder="1"/>
    <xf numFmtId="0" fontId="8" fillId="0" borderId="1" xfId="0" applyFont="1" applyBorder="1"/>
    <xf numFmtId="0" fontId="0" fillId="2" borderId="1" xfId="0" applyFill="1" applyBorder="1"/>
    <xf numFmtId="0" fontId="0" fillId="0" borderId="0" xfId="0" quotePrefix="1" applyFill="1" applyAlignment="1">
      <alignment wrapText="1"/>
    </xf>
    <xf numFmtId="14" fontId="8" fillId="0" borderId="0" xfId="0" applyNumberFormat="1" applyFont="1"/>
    <xf numFmtId="14" fontId="3" fillId="0" borderId="0" xfId="0" applyNumberFormat="1" applyFont="1"/>
    <xf numFmtId="0" fontId="3" fillId="0" borderId="0" xfId="0" applyFont="1" applyFill="1"/>
    <xf numFmtId="0" fontId="9" fillId="0" borderId="0" xfId="0" applyFont="1" applyAlignment="1">
      <alignment vertical="center"/>
    </xf>
    <xf numFmtId="0" fontId="3" fillId="0" borderId="0" xfId="0" quotePrefix="1" applyFont="1"/>
    <xf numFmtId="0" fontId="10" fillId="0" borderId="0" xfId="0" applyFont="1"/>
    <xf numFmtId="14" fontId="10" fillId="0" borderId="0" xfId="0" applyNumberFormat="1" applyFont="1"/>
    <xf numFmtId="0" fontId="10" fillId="2" borderId="0" xfId="0" applyFont="1" applyFill="1"/>
    <xf numFmtId="0" fontId="10" fillId="0" borderId="0" xfId="0" quotePrefix="1" applyFont="1" applyAlignment="1">
      <alignment wrapText="1"/>
    </xf>
    <xf numFmtId="0" fontId="11" fillId="0" borderId="0" xfId="0" applyFont="1"/>
    <xf numFmtId="14" fontId="11" fillId="2" borderId="0" xfId="0" applyNumberFormat="1" applyFont="1" applyFill="1"/>
    <xf numFmtId="0" fontId="12" fillId="0" borderId="0" xfId="0" applyFont="1" applyAlignment="1">
      <alignment vertical="center"/>
    </xf>
    <xf numFmtId="0" fontId="0" fillId="0" borderId="1" xfId="0" quotePrefix="1" applyBorder="1" applyAlignment="1">
      <alignment vertical="top" wrapText="1"/>
    </xf>
    <xf numFmtId="0" fontId="3" fillId="0" borderId="1" xfId="0" quotePrefix="1" applyFont="1" applyBorder="1"/>
    <xf numFmtId="14" fontId="4" fillId="0" borderId="1" xfId="0" applyNumberFormat="1" applyFont="1" applyFill="1" applyBorder="1"/>
    <xf numFmtId="0" fontId="4" fillId="0" borderId="1" xfId="0" quotePrefix="1" applyFont="1" applyFill="1" applyBorder="1" applyAlignment="1">
      <alignment wrapText="1"/>
    </xf>
    <xf numFmtId="14" fontId="4" fillId="0" borderId="1" xfId="0" applyNumberFormat="1" applyFont="1" applyBorder="1"/>
    <xf numFmtId="0" fontId="5" fillId="0" borderId="1" xfId="0" applyFont="1" applyFill="1" applyBorder="1" applyAlignment="1">
      <alignment vertical="center"/>
    </xf>
    <xf numFmtId="0" fontId="4" fillId="0" borderId="1" xfId="0" quotePrefix="1" applyFont="1" applyFill="1" applyBorder="1"/>
    <xf numFmtId="0" fontId="5" fillId="0" borderId="0" xfId="0" applyFont="1" applyFill="1" applyAlignment="1">
      <alignment vertical="center"/>
    </xf>
    <xf numFmtId="0" fontId="4" fillId="0" borderId="1" xfId="0" quotePrefix="1" applyFont="1" applyBorder="1"/>
    <xf numFmtId="0" fontId="4" fillId="5" borderId="1" xfId="0" applyFont="1" applyFill="1" applyBorder="1"/>
    <xf numFmtId="0" fontId="0" fillId="0" borderId="1" xfId="0" quotePrefix="1" applyFill="1" applyBorder="1"/>
    <xf numFmtId="0" fontId="6" fillId="0" borderId="1" xfId="0" quotePrefix="1" applyFont="1" applyBorder="1" applyAlignment="1">
      <alignment wrapText="1"/>
    </xf>
    <xf numFmtId="0" fontId="0" fillId="0" borderId="1" xfId="0" quotePrefix="1" applyFill="1" applyBorder="1" applyAlignment="1">
      <alignment wrapText="1"/>
    </xf>
    <xf numFmtId="0" fontId="4" fillId="0" borderId="1" xfId="0" applyFont="1" applyBorder="1" applyAlignment="1">
      <alignment wrapText="1"/>
    </xf>
    <xf numFmtId="0" fontId="4" fillId="0" borderId="1" xfId="0" quotePrefix="1" applyFont="1" applyBorder="1" applyAlignment="1">
      <alignment wrapText="1"/>
    </xf>
    <xf numFmtId="0" fontId="4" fillId="5" borderId="0" xfId="0" applyFont="1" applyFill="1"/>
    <xf numFmtId="0" fontId="3" fillId="5" borderId="1" xfId="0" applyFont="1" applyFill="1" applyBorder="1"/>
    <xf numFmtId="0" fontId="0" fillId="5" borderId="0" xfId="0" applyFill="1"/>
    <xf numFmtId="14" fontId="4" fillId="0" borderId="0"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5"/>
  <sheetViews>
    <sheetView workbookViewId="0">
      <selection activeCell="C16" sqref="C16"/>
    </sheetView>
  </sheetViews>
  <sheetFormatPr defaultRowHeight="15" x14ac:dyDescent="0.25"/>
  <sheetData>
    <row r="2" spans="1:2" x14ac:dyDescent="0.25">
      <c r="A2">
        <v>1</v>
      </c>
      <c r="B2" t="s">
        <v>77</v>
      </c>
    </row>
    <row r="3" spans="1:2" x14ac:dyDescent="0.25">
      <c r="A3">
        <v>2</v>
      </c>
      <c r="B3" t="s">
        <v>78</v>
      </c>
    </row>
    <row r="4" spans="1:2" x14ac:dyDescent="0.25">
      <c r="A4">
        <v>3</v>
      </c>
      <c r="B4" t="s">
        <v>79</v>
      </c>
    </row>
    <row r="5" spans="1:2" x14ac:dyDescent="0.25">
      <c r="A5">
        <v>4</v>
      </c>
      <c r="B5" t="s">
        <v>149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L64"/>
  <sheetViews>
    <sheetView topLeftCell="C1" workbookViewId="0">
      <pane ySplit="1" topLeftCell="A12" activePane="bottomLeft" state="frozen"/>
      <selection pane="bottomLeft" activeCell="L48" sqref="L48"/>
    </sheetView>
  </sheetViews>
  <sheetFormatPr defaultRowHeight="15" x14ac:dyDescent="0.25"/>
  <cols>
    <col min="1" max="1" width="9.140625" style="24"/>
    <col min="2" max="2" width="11.7109375" style="24" bestFit="1" customWidth="1"/>
    <col min="3" max="3" width="10.42578125" style="24" bestFit="1" customWidth="1"/>
    <col min="4" max="4" width="10.42578125" style="24" customWidth="1"/>
    <col min="5" max="5" width="23.140625" style="24" customWidth="1"/>
    <col min="6" max="9" width="9.140625" style="24"/>
    <col min="10" max="10" width="6.28515625" style="24" customWidth="1"/>
    <col min="11" max="11" width="9.140625" style="24"/>
    <col min="12" max="12" width="81.5703125" style="24" bestFit="1" customWidth="1"/>
    <col min="13" max="16384" width="9.140625" style="24"/>
  </cols>
  <sheetData>
    <row r="1" spans="1:12" x14ac:dyDescent="0.25">
      <c r="G1" s="24" t="s">
        <v>2</v>
      </c>
      <c r="H1" s="24" t="s">
        <v>89</v>
      </c>
      <c r="I1" s="24" t="s">
        <v>88</v>
      </c>
      <c r="K1" s="24" t="s">
        <v>4</v>
      </c>
    </row>
    <row r="2" spans="1:12" customFormat="1" hidden="1" x14ac:dyDescent="0.25">
      <c r="A2" t="s">
        <v>67</v>
      </c>
      <c r="B2" t="s">
        <v>9</v>
      </c>
      <c r="C2" s="2">
        <v>45960</v>
      </c>
      <c r="D2" s="2"/>
      <c r="E2" t="s">
        <v>0</v>
      </c>
      <c r="F2" s="15">
        <v>4451329</v>
      </c>
      <c r="G2">
        <v>162.1</v>
      </c>
      <c r="I2">
        <v>164.57</v>
      </c>
      <c r="L2" t="s">
        <v>1</v>
      </c>
    </row>
    <row r="3" spans="1:12" s="14" customFormat="1" ht="30" hidden="1" x14ac:dyDescent="0.25">
      <c r="A3" s="14" t="s">
        <v>67</v>
      </c>
      <c r="C3" s="9">
        <v>45960</v>
      </c>
      <c r="D3" s="9"/>
      <c r="E3" s="14" t="s">
        <v>3</v>
      </c>
      <c r="F3" s="54">
        <v>40193</v>
      </c>
      <c r="G3" s="14">
        <v>7858.5</v>
      </c>
      <c r="H3" s="14">
        <v>7881</v>
      </c>
      <c r="I3" s="14">
        <v>7863</v>
      </c>
      <c r="K3" s="14">
        <v>-8838</v>
      </c>
      <c r="L3" s="34" t="s">
        <v>66</v>
      </c>
    </row>
    <row r="4" spans="1:12" s="44" customFormat="1" hidden="1" x14ac:dyDescent="0.25">
      <c r="A4" s="44" t="s">
        <v>67</v>
      </c>
      <c r="B4" s="44" t="s">
        <v>9</v>
      </c>
      <c r="C4" s="45">
        <v>45960</v>
      </c>
      <c r="D4" s="45"/>
      <c r="E4" s="44" t="s">
        <v>5</v>
      </c>
      <c r="F4" s="46">
        <v>140033</v>
      </c>
      <c r="G4" s="44">
        <v>5855</v>
      </c>
      <c r="H4" s="44">
        <v>5881</v>
      </c>
      <c r="I4" s="44">
        <v>5873</v>
      </c>
      <c r="K4" s="44">
        <v>33262</v>
      </c>
      <c r="L4" s="44" t="s">
        <v>6</v>
      </c>
    </row>
    <row r="5" spans="1:12" customFormat="1" ht="60" hidden="1" x14ac:dyDescent="0.25">
      <c r="A5" t="s">
        <v>67</v>
      </c>
      <c r="B5" t="s">
        <v>9</v>
      </c>
      <c r="C5" s="2">
        <v>45960</v>
      </c>
      <c r="D5" s="2"/>
      <c r="E5" t="s">
        <v>7</v>
      </c>
      <c r="F5" s="15">
        <v>177665</v>
      </c>
      <c r="G5">
        <v>1581.1</v>
      </c>
      <c r="H5">
        <v>1574</v>
      </c>
      <c r="I5">
        <v>1579</v>
      </c>
      <c r="K5">
        <v>75568</v>
      </c>
      <c r="L5" s="6" t="s">
        <v>75</v>
      </c>
    </row>
    <row r="6" spans="1:12" customFormat="1" ht="30" hidden="1" x14ac:dyDescent="0.25">
      <c r="A6" t="s">
        <v>67</v>
      </c>
      <c r="C6" s="3">
        <v>45960</v>
      </c>
      <c r="D6" s="3"/>
      <c r="E6" t="s">
        <v>8</v>
      </c>
      <c r="F6" s="10">
        <v>2585345</v>
      </c>
      <c r="G6">
        <v>1106.8</v>
      </c>
      <c r="H6">
        <v>1117</v>
      </c>
      <c r="I6">
        <v>1112</v>
      </c>
      <c r="K6">
        <v>-208927</v>
      </c>
      <c r="L6" s="6" t="s">
        <v>55</v>
      </c>
    </row>
    <row r="7" spans="1:12" customFormat="1" hidden="1" x14ac:dyDescent="0.25">
      <c r="A7" t="s">
        <v>67</v>
      </c>
      <c r="C7" s="1">
        <v>45960</v>
      </c>
      <c r="D7" s="1"/>
      <c r="E7" t="s">
        <v>10</v>
      </c>
      <c r="F7" s="10">
        <v>5573121</v>
      </c>
      <c r="G7">
        <v>2035</v>
      </c>
      <c r="H7">
        <v>2024</v>
      </c>
      <c r="I7">
        <v>2026</v>
      </c>
      <c r="K7">
        <v>65779</v>
      </c>
      <c r="L7" t="s">
        <v>11</v>
      </c>
    </row>
    <row r="8" spans="1:12" customFormat="1" ht="45" hidden="1" x14ac:dyDescent="0.25">
      <c r="A8" t="s">
        <v>67</v>
      </c>
      <c r="C8" s="1">
        <v>45960</v>
      </c>
      <c r="D8" s="1"/>
      <c r="E8" t="s">
        <v>12</v>
      </c>
      <c r="F8" s="10">
        <v>502785</v>
      </c>
      <c r="G8">
        <v>4780.6000000000004</v>
      </c>
      <c r="H8">
        <v>4743</v>
      </c>
      <c r="I8">
        <v>4766</v>
      </c>
      <c r="J8" t="s">
        <v>58</v>
      </c>
      <c r="K8">
        <v>22000</v>
      </c>
      <c r="L8" s="26" t="s">
        <v>56</v>
      </c>
    </row>
    <row r="9" spans="1:12" s="27" customFormat="1" ht="45" hidden="1" x14ac:dyDescent="0.25">
      <c r="A9" s="27" t="s">
        <v>67</v>
      </c>
      <c r="C9" s="49">
        <v>45960</v>
      </c>
      <c r="D9" s="49"/>
      <c r="E9" s="27" t="s">
        <v>13</v>
      </c>
      <c r="F9" s="27">
        <v>2170625</v>
      </c>
      <c r="G9" s="27">
        <v>3498.9</v>
      </c>
      <c r="H9" s="27">
        <v>3574</v>
      </c>
      <c r="I9" s="27">
        <v>3452</v>
      </c>
      <c r="K9" s="27">
        <v>-9497</v>
      </c>
      <c r="L9" s="50" t="s">
        <v>91</v>
      </c>
    </row>
    <row r="10" spans="1:12" s="27" customFormat="1" ht="45" x14ac:dyDescent="0.25">
      <c r="A10" s="27" t="s">
        <v>65</v>
      </c>
      <c r="C10" s="49">
        <v>45961</v>
      </c>
      <c r="D10" s="49"/>
      <c r="E10" s="27" t="s">
        <v>31</v>
      </c>
      <c r="F10" s="27">
        <v>951809</v>
      </c>
      <c r="G10" s="27">
        <v>1419.8</v>
      </c>
      <c r="I10" s="27">
        <v>1325</v>
      </c>
      <c r="J10" s="27" t="s">
        <v>45</v>
      </c>
      <c r="L10" s="50" t="s">
        <v>86</v>
      </c>
    </row>
    <row r="11" spans="1:12" s="14" customFormat="1" ht="45" hidden="1" x14ac:dyDescent="0.25">
      <c r="A11" s="14" t="s">
        <v>67</v>
      </c>
      <c r="C11" s="9">
        <v>45961</v>
      </c>
      <c r="D11" s="9"/>
      <c r="E11" s="14" t="s">
        <v>32</v>
      </c>
      <c r="F11" s="12">
        <v>79873</v>
      </c>
      <c r="G11" s="14">
        <v>3059</v>
      </c>
      <c r="L11" s="34" t="s">
        <v>64</v>
      </c>
    </row>
    <row r="12" spans="1:12" s="27" customFormat="1" x14ac:dyDescent="0.25">
      <c r="A12" s="27" t="s">
        <v>65</v>
      </c>
      <c r="C12" s="49">
        <v>45961</v>
      </c>
      <c r="D12" s="49"/>
      <c r="E12" s="27" t="s">
        <v>33</v>
      </c>
      <c r="F12" s="27">
        <v>5728513</v>
      </c>
      <c r="G12" s="27">
        <v>1178</v>
      </c>
      <c r="H12" s="27">
        <v>1145</v>
      </c>
      <c r="I12" s="27">
        <v>1130</v>
      </c>
      <c r="J12" s="27" t="s">
        <v>45</v>
      </c>
      <c r="L12" s="27" t="s">
        <v>38</v>
      </c>
    </row>
    <row r="13" spans="1:12" customFormat="1" hidden="1" x14ac:dyDescent="0.25">
      <c r="A13" t="s">
        <v>67</v>
      </c>
      <c r="C13" s="1">
        <v>45961</v>
      </c>
      <c r="D13" s="1"/>
      <c r="E13" t="s">
        <v>34</v>
      </c>
      <c r="F13" s="10">
        <v>519937</v>
      </c>
      <c r="G13">
        <v>3502</v>
      </c>
      <c r="L13" t="s">
        <v>40</v>
      </c>
    </row>
    <row r="14" spans="1:12" s="13" customFormat="1" hidden="1" x14ac:dyDescent="0.25">
      <c r="A14" s="13" t="s">
        <v>67</v>
      </c>
      <c r="C14" s="25">
        <v>45961</v>
      </c>
      <c r="D14" s="25"/>
      <c r="E14" s="13" t="s">
        <v>35</v>
      </c>
      <c r="F14" s="13">
        <v>225537</v>
      </c>
      <c r="G14" s="13">
        <v>1202</v>
      </c>
      <c r="L14" s="13" t="s">
        <v>46</v>
      </c>
    </row>
    <row r="15" spans="1:12" customFormat="1" ht="60" hidden="1" x14ac:dyDescent="0.25">
      <c r="A15" t="s">
        <v>67</v>
      </c>
      <c r="C15" s="1">
        <v>45961</v>
      </c>
      <c r="D15" s="1"/>
      <c r="E15" t="s">
        <v>36</v>
      </c>
      <c r="F15" s="10">
        <v>197633</v>
      </c>
      <c r="G15">
        <v>501.55</v>
      </c>
      <c r="L15" s="26" t="s">
        <v>62</v>
      </c>
    </row>
    <row r="16" spans="1:12" customFormat="1" hidden="1" x14ac:dyDescent="0.25">
      <c r="A16" t="s">
        <v>67</v>
      </c>
      <c r="B16" t="s">
        <v>59</v>
      </c>
      <c r="C16" s="1">
        <v>45964</v>
      </c>
      <c r="D16" s="1"/>
      <c r="E16" t="s">
        <v>48</v>
      </c>
      <c r="F16" s="10">
        <v>900609</v>
      </c>
      <c r="G16">
        <v>3560.1</v>
      </c>
      <c r="L16" t="s">
        <v>49</v>
      </c>
    </row>
    <row r="17" spans="1:12" customFormat="1" hidden="1" x14ac:dyDescent="0.25">
      <c r="A17" t="s">
        <v>67</v>
      </c>
      <c r="C17" s="1">
        <v>45964</v>
      </c>
      <c r="D17" s="1"/>
      <c r="E17" t="s">
        <v>50</v>
      </c>
      <c r="F17" s="10">
        <v>7488257</v>
      </c>
      <c r="H17">
        <v>216.17</v>
      </c>
      <c r="L17" t="s">
        <v>52</v>
      </c>
    </row>
    <row r="18" spans="1:12" s="40" customFormat="1" ht="105" hidden="1" x14ac:dyDescent="0.25">
      <c r="A18" s="40" t="s">
        <v>67</v>
      </c>
      <c r="C18" s="41">
        <v>45964</v>
      </c>
      <c r="D18" s="41"/>
      <c r="E18" s="42" t="s">
        <v>51</v>
      </c>
      <c r="F18" s="40">
        <v>548865</v>
      </c>
      <c r="G18" s="40">
        <v>1530</v>
      </c>
      <c r="H18" s="40">
        <v>1529</v>
      </c>
      <c r="I18" s="40">
        <v>1447</v>
      </c>
      <c r="L18" s="43" t="s">
        <v>92</v>
      </c>
    </row>
    <row r="19" spans="1:12" s="30" customFormat="1" hidden="1" x14ac:dyDescent="0.25">
      <c r="A19" s="30" t="s">
        <v>67</v>
      </c>
      <c r="C19" s="35">
        <v>45965</v>
      </c>
      <c r="D19" s="35"/>
      <c r="E19" s="30" t="s">
        <v>68</v>
      </c>
      <c r="F19" s="30">
        <v>1510401</v>
      </c>
      <c r="H19" s="30">
        <v>1229</v>
      </c>
      <c r="I19" s="30">
        <v>1231</v>
      </c>
    </row>
    <row r="20" spans="1:12" s="27" customFormat="1" ht="30" hidden="1" x14ac:dyDescent="0.25">
      <c r="A20" s="27" t="s">
        <v>67</v>
      </c>
      <c r="C20" s="49">
        <v>45965</v>
      </c>
      <c r="D20" s="49"/>
      <c r="E20" s="27" t="s">
        <v>69</v>
      </c>
      <c r="F20" s="27">
        <v>2977281</v>
      </c>
      <c r="H20" s="27">
        <v>345</v>
      </c>
      <c r="I20" s="27">
        <v>328</v>
      </c>
      <c r="L20" s="50" t="s">
        <v>94</v>
      </c>
    </row>
    <row r="21" spans="1:12" customFormat="1" hidden="1" x14ac:dyDescent="0.25">
      <c r="A21" t="s">
        <v>67</v>
      </c>
      <c r="E21" t="s">
        <v>70</v>
      </c>
      <c r="F21" s="10">
        <v>952577</v>
      </c>
    </row>
    <row r="22" spans="1:12" s="27" customFormat="1" x14ac:dyDescent="0.25">
      <c r="A22" s="27" t="s">
        <v>65</v>
      </c>
      <c r="C22" s="49">
        <v>45966</v>
      </c>
      <c r="D22" s="49"/>
      <c r="E22" s="27" t="s">
        <v>50</v>
      </c>
      <c r="F22" s="27">
        <v>7488257</v>
      </c>
      <c r="H22" s="27">
        <v>412</v>
      </c>
      <c r="I22" s="27">
        <v>408</v>
      </c>
      <c r="L22" s="53" t="s">
        <v>81</v>
      </c>
    </row>
    <row r="23" spans="1:12" s="11" customFormat="1" hidden="1" x14ac:dyDescent="0.25">
      <c r="A23" s="11" t="s">
        <v>67</v>
      </c>
      <c r="C23" s="36">
        <v>45966</v>
      </c>
      <c r="D23" s="36"/>
      <c r="E23" s="37" t="s">
        <v>80</v>
      </c>
      <c r="F23" s="38">
        <v>1076225</v>
      </c>
      <c r="G23" s="11">
        <v>105.8</v>
      </c>
      <c r="H23" s="11">
        <v>105.63</v>
      </c>
      <c r="I23" s="11">
        <v>104.84</v>
      </c>
      <c r="L23" s="39" t="s">
        <v>81</v>
      </c>
    </row>
    <row r="24" spans="1:12" s="27" customFormat="1" x14ac:dyDescent="0.25">
      <c r="A24" s="27" t="s">
        <v>65</v>
      </c>
      <c r="C24" s="49">
        <v>45968</v>
      </c>
      <c r="D24" s="49"/>
      <c r="E24" s="27" t="s">
        <v>97</v>
      </c>
      <c r="F24" s="27">
        <v>5633</v>
      </c>
      <c r="H24" s="27">
        <v>1833.05</v>
      </c>
    </row>
    <row r="25" spans="1:12" customFormat="1" hidden="1" x14ac:dyDescent="0.25">
      <c r="A25" t="s">
        <v>67</v>
      </c>
      <c r="C25" s="1">
        <v>45968</v>
      </c>
      <c r="D25" s="1"/>
      <c r="E25" t="s">
        <v>98</v>
      </c>
      <c r="F25" s="10">
        <v>175361</v>
      </c>
      <c r="H25">
        <v>1700.53</v>
      </c>
    </row>
    <row r="26" spans="1:12" s="27" customFormat="1" hidden="1" x14ac:dyDescent="0.25">
      <c r="A26" s="27" t="s">
        <v>67</v>
      </c>
      <c r="C26" s="49">
        <v>45968</v>
      </c>
      <c r="D26" s="49"/>
      <c r="E26" s="27" t="s">
        <v>99</v>
      </c>
      <c r="F26" s="27">
        <v>1215745</v>
      </c>
      <c r="H26" s="27">
        <v>523.20000000000005</v>
      </c>
    </row>
    <row r="27" spans="1:12" s="27" customFormat="1" hidden="1" x14ac:dyDescent="0.25">
      <c r="A27" s="27" t="s">
        <v>67</v>
      </c>
      <c r="C27" s="49">
        <v>45968</v>
      </c>
      <c r="D27" s="49"/>
      <c r="E27" s="27" t="s">
        <v>100</v>
      </c>
      <c r="F27" s="27">
        <v>315393</v>
      </c>
      <c r="H27" s="27">
        <v>2735.56</v>
      </c>
    </row>
    <row r="28" spans="1:12" customFormat="1" hidden="1" x14ac:dyDescent="0.25">
      <c r="A28" t="s">
        <v>67</v>
      </c>
      <c r="C28" s="1">
        <v>45968</v>
      </c>
      <c r="D28" s="1"/>
      <c r="E28" t="s">
        <v>101</v>
      </c>
      <c r="F28" s="10">
        <v>119553</v>
      </c>
      <c r="H28">
        <v>739.8</v>
      </c>
    </row>
    <row r="29" spans="1:12" s="27" customFormat="1" hidden="1" x14ac:dyDescent="0.25">
      <c r="A29" s="27" t="s">
        <v>67</v>
      </c>
      <c r="C29" s="49">
        <v>45968</v>
      </c>
      <c r="D29" s="49"/>
      <c r="E29" s="27" t="s">
        <v>102</v>
      </c>
      <c r="F29" s="27">
        <v>387073</v>
      </c>
      <c r="H29" s="27">
        <v>710</v>
      </c>
    </row>
    <row r="30" spans="1:12" s="27" customFormat="1" hidden="1" x14ac:dyDescent="0.25">
      <c r="A30" s="27" t="s">
        <v>67</v>
      </c>
      <c r="C30" s="49">
        <v>45968</v>
      </c>
      <c r="D30" s="49"/>
      <c r="E30" s="27" t="s">
        <v>103</v>
      </c>
      <c r="F30" s="27">
        <v>3520257</v>
      </c>
      <c r="H30" s="27">
        <v>1331.63</v>
      </c>
    </row>
    <row r="31" spans="1:12" customFormat="1" hidden="1" x14ac:dyDescent="0.25">
      <c r="A31" t="s">
        <v>67</v>
      </c>
      <c r="C31" s="1">
        <v>45968</v>
      </c>
      <c r="D31" s="1"/>
      <c r="E31" t="s">
        <v>104</v>
      </c>
      <c r="F31" s="10">
        <v>4574465</v>
      </c>
      <c r="H31">
        <v>522.52</v>
      </c>
    </row>
    <row r="32" spans="1:12" s="27" customFormat="1" hidden="1" x14ac:dyDescent="0.25">
      <c r="A32" s="27" t="s">
        <v>67</v>
      </c>
      <c r="C32" s="49">
        <v>45968</v>
      </c>
      <c r="D32" s="49"/>
      <c r="E32" s="27" t="s">
        <v>105</v>
      </c>
      <c r="F32" s="52">
        <v>4632577</v>
      </c>
      <c r="H32" s="27">
        <v>586.27</v>
      </c>
    </row>
    <row r="33" spans="1:12" s="30" customFormat="1" hidden="1" x14ac:dyDescent="0.25">
      <c r="A33" t="s">
        <v>67</v>
      </c>
      <c r="B33"/>
      <c r="C33">
        <v>45968</v>
      </c>
      <c r="D33"/>
      <c r="E33" t="s">
        <v>106</v>
      </c>
      <c r="F33">
        <v>1629185</v>
      </c>
      <c r="G33"/>
      <c r="H33">
        <v>230.29</v>
      </c>
      <c r="I33"/>
      <c r="J33"/>
      <c r="K33"/>
      <c r="L33" t="s">
        <v>118</v>
      </c>
    </row>
    <row r="34" spans="1:12" s="27" customFormat="1" hidden="1" x14ac:dyDescent="0.25">
      <c r="A34" s="27" t="s">
        <v>67</v>
      </c>
      <c r="C34" s="49">
        <v>45968</v>
      </c>
      <c r="D34" s="49"/>
      <c r="E34" s="27" t="s">
        <v>107</v>
      </c>
      <c r="F34" s="27">
        <v>4454401</v>
      </c>
      <c r="H34" s="27">
        <v>82.46</v>
      </c>
    </row>
    <row r="35" spans="1:12" s="27" customFormat="1" hidden="1" x14ac:dyDescent="0.25">
      <c r="A35" s="27" t="s">
        <v>67</v>
      </c>
      <c r="C35" s="49">
        <v>45968</v>
      </c>
      <c r="D35" s="49"/>
      <c r="E35" s="27" t="s">
        <v>108</v>
      </c>
      <c r="F35" s="27">
        <v>6412545</v>
      </c>
      <c r="H35" s="27">
        <v>1017.33</v>
      </c>
      <c r="L35" s="24" t="s">
        <v>142</v>
      </c>
    </row>
    <row r="36" spans="1:12" customFormat="1" hidden="1" x14ac:dyDescent="0.25">
      <c r="A36" t="s">
        <v>67</v>
      </c>
      <c r="C36" s="1">
        <v>45968</v>
      </c>
      <c r="D36" s="1"/>
      <c r="E36" t="s">
        <v>109</v>
      </c>
      <c r="F36" s="10">
        <v>3930881</v>
      </c>
      <c r="H36">
        <v>365.71</v>
      </c>
    </row>
    <row r="37" spans="1:12" s="27" customFormat="1" hidden="1" x14ac:dyDescent="0.25">
      <c r="A37" s="27" t="s">
        <v>67</v>
      </c>
      <c r="C37" s="49">
        <v>45968</v>
      </c>
      <c r="D37" s="49"/>
      <c r="E37" s="27" t="s">
        <v>110</v>
      </c>
      <c r="F37" s="27">
        <v>3529217</v>
      </c>
      <c r="H37" s="27">
        <v>1278.94</v>
      </c>
      <c r="L37" s="27" t="s">
        <v>144</v>
      </c>
    </row>
    <row r="38" spans="1:12" s="27" customFormat="1" x14ac:dyDescent="0.25">
      <c r="A38" s="27" t="s">
        <v>65</v>
      </c>
      <c r="C38" s="49">
        <v>45971</v>
      </c>
      <c r="D38" s="49"/>
      <c r="E38" s="27" t="s">
        <v>61</v>
      </c>
      <c r="F38" s="27">
        <v>3329</v>
      </c>
      <c r="H38" s="27">
        <v>5014.82</v>
      </c>
      <c r="L38" s="24" t="s">
        <v>142</v>
      </c>
    </row>
    <row r="39" spans="1:12" s="27" customFormat="1" ht="45" hidden="1" x14ac:dyDescent="0.25">
      <c r="A39" s="27" t="s">
        <v>67</v>
      </c>
      <c r="C39" s="49">
        <v>45971</v>
      </c>
      <c r="D39" s="49"/>
      <c r="E39" s="27" t="s">
        <v>119</v>
      </c>
      <c r="F39" s="27">
        <v>348929</v>
      </c>
      <c r="L39" s="60" t="s">
        <v>176</v>
      </c>
    </row>
    <row r="40" spans="1:12" s="27" customFormat="1" hidden="1" x14ac:dyDescent="0.25">
      <c r="A40" s="27" t="s">
        <v>67</v>
      </c>
      <c r="C40" s="49">
        <v>45971</v>
      </c>
      <c r="D40" s="49"/>
      <c r="E40" s="56" t="s">
        <v>60</v>
      </c>
      <c r="F40" s="56">
        <v>2939649</v>
      </c>
      <c r="L40" s="27" t="s">
        <v>147</v>
      </c>
    </row>
    <row r="41" spans="1:12" s="27" customFormat="1" hidden="1" x14ac:dyDescent="0.25">
      <c r="A41" s="27" t="s">
        <v>67</v>
      </c>
      <c r="C41" s="49">
        <v>45971</v>
      </c>
      <c r="D41" s="49"/>
      <c r="E41" s="56" t="s">
        <v>120</v>
      </c>
      <c r="F41" s="56">
        <v>3924993</v>
      </c>
      <c r="L41" s="27" t="s">
        <v>143</v>
      </c>
    </row>
    <row r="42" spans="1:12" s="27" customFormat="1" hidden="1" x14ac:dyDescent="0.25">
      <c r="A42" s="27" t="s">
        <v>67</v>
      </c>
      <c r="C42" s="49">
        <v>45971</v>
      </c>
      <c r="D42" s="49"/>
      <c r="E42" s="56" t="s">
        <v>121</v>
      </c>
      <c r="F42" s="56">
        <v>6957057</v>
      </c>
    </row>
    <row r="43" spans="1:12" s="27" customFormat="1" ht="30" x14ac:dyDescent="0.25">
      <c r="A43" s="27" t="s">
        <v>65</v>
      </c>
      <c r="C43" s="49">
        <v>45971</v>
      </c>
      <c r="D43" s="49"/>
      <c r="E43" s="27" t="s">
        <v>122</v>
      </c>
      <c r="F43" s="27">
        <v>3660545</v>
      </c>
      <c r="L43" s="61" t="s">
        <v>180</v>
      </c>
    </row>
    <row r="44" spans="1:12" ht="45" x14ac:dyDescent="0.25">
      <c r="A44" s="24" t="s">
        <v>65</v>
      </c>
      <c r="C44" s="51">
        <v>45972</v>
      </c>
      <c r="D44" s="51"/>
      <c r="E44" s="24" t="s">
        <v>3</v>
      </c>
      <c r="F44" s="54">
        <v>40193</v>
      </c>
      <c r="L44" s="61" t="s">
        <v>213</v>
      </c>
    </row>
    <row r="45" spans="1:12" hidden="1" x14ac:dyDescent="0.25">
      <c r="A45" s="24" t="s">
        <v>67</v>
      </c>
      <c r="C45" s="51">
        <v>45972</v>
      </c>
      <c r="D45" s="51"/>
      <c r="E45" s="24" t="s">
        <v>133</v>
      </c>
      <c r="F45" s="24">
        <v>2865921</v>
      </c>
    </row>
    <row r="46" spans="1:12" x14ac:dyDescent="0.25">
      <c r="A46" s="24" t="s">
        <v>65</v>
      </c>
      <c r="C46" s="51">
        <v>45972</v>
      </c>
      <c r="D46" s="65"/>
      <c r="E46" s="62" t="s">
        <v>12</v>
      </c>
      <c r="F46" s="62">
        <v>502785</v>
      </c>
      <c r="L46" s="24" t="s">
        <v>134</v>
      </c>
    </row>
    <row r="47" spans="1:12" hidden="1" x14ac:dyDescent="0.25">
      <c r="A47" s="24" t="s">
        <v>67</v>
      </c>
      <c r="C47" s="51">
        <v>45972</v>
      </c>
      <c r="D47" s="51"/>
      <c r="E47" s="56" t="s">
        <v>135</v>
      </c>
      <c r="F47" s="56">
        <v>3001089</v>
      </c>
    </row>
    <row r="48" spans="1:12" ht="30" x14ac:dyDescent="0.25">
      <c r="A48" s="24" t="s">
        <v>65</v>
      </c>
      <c r="C48" s="51">
        <v>45972</v>
      </c>
      <c r="D48" s="51"/>
      <c r="E48" s="24" t="s">
        <v>169</v>
      </c>
      <c r="F48" s="24">
        <v>4843777</v>
      </c>
      <c r="L48" s="61" t="s">
        <v>201</v>
      </c>
    </row>
    <row r="49" spans="1:12" ht="30" x14ac:dyDescent="0.25">
      <c r="A49" s="24" t="s">
        <v>65</v>
      </c>
      <c r="C49" s="51">
        <v>45972</v>
      </c>
      <c r="D49" s="51"/>
      <c r="E49" s="24" t="s">
        <v>145</v>
      </c>
      <c r="F49" s="24">
        <v>424961</v>
      </c>
      <c r="L49" s="60" t="s">
        <v>207</v>
      </c>
    </row>
    <row r="50" spans="1:12" hidden="1" x14ac:dyDescent="0.25">
      <c r="A50" s="24" t="s">
        <v>67</v>
      </c>
      <c r="C50" s="51">
        <v>45973</v>
      </c>
      <c r="D50" s="51"/>
      <c r="E50" s="24" t="s">
        <v>179</v>
      </c>
      <c r="F50">
        <v>2883073</v>
      </c>
      <c r="L50" s="55" t="s">
        <v>162</v>
      </c>
    </row>
    <row r="51" spans="1:12" hidden="1" x14ac:dyDescent="0.25">
      <c r="A51" s="24" t="s">
        <v>67</v>
      </c>
      <c r="C51" s="51">
        <v>45973</v>
      </c>
      <c r="D51" s="51"/>
      <c r="E51" s="24" t="s">
        <v>151</v>
      </c>
      <c r="F51">
        <v>878593</v>
      </c>
    </row>
    <row r="52" spans="1:12" hidden="1" x14ac:dyDescent="0.25">
      <c r="A52" s="24" t="s">
        <v>67</v>
      </c>
      <c r="C52" s="51">
        <v>45973</v>
      </c>
      <c r="D52" s="51"/>
      <c r="E52" s="24" t="s">
        <v>152</v>
      </c>
      <c r="F52">
        <v>6928897</v>
      </c>
    </row>
    <row r="53" spans="1:12" ht="30" x14ac:dyDescent="0.25">
      <c r="A53" s="24" t="s">
        <v>65</v>
      </c>
      <c r="C53" s="51">
        <v>45973</v>
      </c>
      <c r="D53" s="51"/>
      <c r="E53" s="56" t="s">
        <v>153</v>
      </c>
      <c r="F53" s="56">
        <v>5436929</v>
      </c>
      <c r="L53" s="61" t="s">
        <v>206</v>
      </c>
    </row>
    <row r="54" spans="1:12" ht="30" x14ac:dyDescent="0.25">
      <c r="A54" s="24" t="s">
        <v>65</v>
      </c>
      <c r="C54" s="51">
        <v>45973</v>
      </c>
      <c r="D54" s="51"/>
      <c r="E54" s="24" t="s">
        <v>154</v>
      </c>
      <c r="F54">
        <v>3735553</v>
      </c>
      <c r="L54" s="58" t="s">
        <v>174</v>
      </c>
    </row>
    <row r="55" spans="1:12" hidden="1" x14ac:dyDescent="0.25">
      <c r="A55" s="24" t="s">
        <v>67</v>
      </c>
      <c r="C55" s="51">
        <v>45973</v>
      </c>
      <c r="D55" s="51"/>
      <c r="E55" s="63" t="s">
        <v>155</v>
      </c>
      <c r="F55" s="64">
        <v>952577</v>
      </c>
      <c r="L55" s="55" t="s">
        <v>170</v>
      </c>
    </row>
    <row r="56" spans="1:12" x14ac:dyDescent="0.25">
      <c r="A56" s="24" t="s">
        <v>65</v>
      </c>
      <c r="C56" s="51">
        <v>45974</v>
      </c>
      <c r="D56" s="65"/>
      <c r="E56" s="62" t="s">
        <v>165</v>
      </c>
      <c r="F56" s="64">
        <v>4644609</v>
      </c>
      <c r="G56"/>
    </row>
    <row r="57" spans="1:12" x14ac:dyDescent="0.25">
      <c r="A57" s="24" t="s">
        <v>65</v>
      </c>
      <c r="C57" s="51">
        <v>45974</v>
      </c>
      <c r="D57" s="51"/>
      <c r="E57" s="56" t="s">
        <v>171</v>
      </c>
      <c r="F57" s="64">
        <v>2800641</v>
      </c>
    </row>
    <row r="58" spans="1:12" x14ac:dyDescent="0.25">
      <c r="A58" s="24" t="s">
        <v>65</v>
      </c>
      <c r="C58" s="51">
        <v>45977</v>
      </c>
      <c r="D58" s="24" t="s">
        <v>193</v>
      </c>
      <c r="E58" s="24" t="s">
        <v>192</v>
      </c>
      <c r="F58">
        <v>860929</v>
      </c>
      <c r="L58" s="55" t="s">
        <v>194</v>
      </c>
    </row>
    <row r="59" spans="1:12" x14ac:dyDescent="0.25">
      <c r="A59" s="24" t="s">
        <v>65</v>
      </c>
      <c r="C59" s="51">
        <v>45977</v>
      </c>
      <c r="D59" s="24" t="s">
        <v>196</v>
      </c>
      <c r="E59" t="s">
        <v>195</v>
      </c>
      <c r="F59">
        <v>6191105</v>
      </c>
    </row>
    <row r="60" spans="1:12" x14ac:dyDescent="0.25">
      <c r="A60" s="24" t="s">
        <v>65</v>
      </c>
      <c r="C60" s="51">
        <v>45977</v>
      </c>
      <c r="D60" s="24" t="s">
        <v>198</v>
      </c>
      <c r="E60" s="24" t="s">
        <v>197</v>
      </c>
      <c r="F60">
        <v>3725313</v>
      </c>
      <c r="L60" s="55" t="s">
        <v>215</v>
      </c>
    </row>
    <row r="61" spans="1:12" x14ac:dyDescent="0.25">
      <c r="A61" s="24" t="s">
        <v>65</v>
      </c>
      <c r="C61" s="51">
        <v>45977</v>
      </c>
      <c r="D61" t="s">
        <v>199</v>
      </c>
      <c r="E61" s="24" t="s">
        <v>200</v>
      </c>
      <c r="F61">
        <v>6599681</v>
      </c>
    </row>
    <row r="62" spans="1:12" x14ac:dyDescent="0.25">
      <c r="A62" s="24" t="s">
        <v>65</v>
      </c>
      <c r="D62" t="s">
        <v>210</v>
      </c>
      <c r="F62">
        <v>341249</v>
      </c>
    </row>
    <row r="63" spans="1:12" x14ac:dyDescent="0.25">
      <c r="A63" s="24" t="s">
        <v>65</v>
      </c>
      <c r="D63" t="s">
        <v>211</v>
      </c>
      <c r="E63" s="24" t="s">
        <v>212</v>
      </c>
      <c r="F63">
        <v>345089</v>
      </c>
    </row>
    <row r="64" spans="1:12" x14ac:dyDescent="0.25">
      <c r="A64" s="24" t="s">
        <v>65</v>
      </c>
      <c r="C64" s="51">
        <v>45978</v>
      </c>
      <c r="E64" s="24" t="s">
        <v>51</v>
      </c>
      <c r="F64" s="4">
        <v>548865</v>
      </c>
      <c r="L64" s="55" t="s">
        <v>214</v>
      </c>
    </row>
  </sheetData>
  <autoFilter ref="A1:L64">
    <filterColumn colId="0">
      <filters>
        <filter val="Tracking"/>
      </filters>
    </filterColumn>
  </autoFilter>
  <pageMargins left="0.7" right="0.7"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X41"/>
  <sheetViews>
    <sheetView tabSelected="1" workbookViewId="0">
      <pane ySplit="1" topLeftCell="A21" activePane="bottomLeft" state="frozen"/>
      <selection pane="bottomLeft" activeCell="G30" sqref="G30"/>
    </sheetView>
  </sheetViews>
  <sheetFormatPr defaultRowHeight="15" x14ac:dyDescent="0.25"/>
  <cols>
    <col min="1" max="1" width="5" style="7" customWidth="1"/>
    <col min="2" max="3" width="10.140625" style="7" customWidth="1"/>
    <col min="4" max="4" width="9.140625" style="24"/>
    <col min="5" max="5" width="5.42578125" style="7" customWidth="1"/>
    <col min="6" max="6" width="9.140625" style="7"/>
    <col min="7" max="7" width="12.140625" style="7" bestFit="1" customWidth="1"/>
    <col min="8" max="8" width="12.140625" style="7" customWidth="1"/>
    <col min="9" max="11" width="9.140625" style="7"/>
    <col min="12" max="12" width="10.5703125" style="7" bestFit="1" customWidth="1"/>
    <col min="13" max="13" width="10.5703125" style="7" customWidth="1"/>
    <col min="14" max="14" width="5" style="7" customWidth="1"/>
    <col min="15" max="15" width="8.28515625" style="7" customWidth="1"/>
    <col min="16" max="16" width="10.42578125" style="7" bestFit="1" customWidth="1"/>
    <col min="17" max="17" width="9.140625" style="7"/>
    <col min="18" max="18" width="50.42578125" style="7" bestFit="1" customWidth="1"/>
    <col min="19" max="19" width="12.28515625" style="7" customWidth="1"/>
    <col min="20" max="16384" width="9.140625" style="7"/>
  </cols>
  <sheetData>
    <row r="1" spans="1:24" x14ac:dyDescent="0.25">
      <c r="B1" s="7" t="s">
        <v>26</v>
      </c>
      <c r="C1" s="8" t="s">
        <v>84</v>
      </c>
      <c r="D1" s="16" t="s">
        <v>85</v>
      </c>
      <c r="E1" s="8" t="s">
        <v>20</v>
      </c>
      <c r="F1" s="8" t="s">
        <v>82</v>
      </c>
      <c r="G1" s="8" t="s">
        <v>18</v>
      </c>
      <c r="H1" s="8" t="s">
        <v>83</v>
      </c>
      <c r="I1" s="8" t="s">
        <v>17</v>
      </c>
      <c r="J1" s="8" t="s">
        <v>14</v>
      </c>
      <c r="K1" s="8" t="s">
        <v>16</v>
      </c>
      <c r="L1" s="8" t="s">
        <v>19</v>
      </c>
      <c r="M1" s="8" t="s">
        <v>28</v>
      </c>
      <c r="N1" s="8" t="s">
        <v>22</v>
      </c>
      <c r="O1" s="8" t="s">
        <v>29</v>
      </c>
      <c r="P1" s="8" t="s">
        <v>53</v>
      </c>
      <c r="Q1" s="8" t="s">
        <v>24</v>
      </c>
      <c r="R1" s="8" t="s">
        <v>23</v>
      </c>
      <c r="S1" s="8" t="s">
        <v>27</v>
      </c>
    </row>
    <row r="2" spans="1:24" ht="90" hidden="1" x14ac:dyDescent="0.25">
      <c r="A2" s="7">
        <v>1</v>
      </c>
      <c r="B2" s="17">
        <v>45960</v>
      </c>
      <c r="C2" s="7" t="s">
        <v>0</v>
      </c>
      <c r="D2" s="20">
        <v>4451329</v>
      </c>
      <c r="E2" s="20" t="s">
        <v>21</v>
      </c>
      <c r="F2" s="20">
        <v>158.06</v>
      </c>
      <c r="G2" s="7">
        <v>165.82</v>
      </c>
      <c r="I2" s="7">
        <v>162.1</v>
      </c>
      <c r="J2" s="7">
        <f t="shared" ref="J2:J8" si="0">K2/I2</f>
        <v>616.90314620604568</v>
      </c>
      <c r="K2" s="7">
        <f>0.1*X2</f>
        <v>100000</v>
      </c>
      <c r="L2" s="7">
        <f t="shared" ref="L2:L20" si="1">(G2-I2)*J2</f>
        <v>2294.8797038864891</v>
      </c>
      <c r="M2" s="7">
        <f t="shared" ref="M2:M28" si="2">L2*100/(I2*J2)</f>
        <v>2.294879703886489</v>
      </c>
      <c r="O2" s="7">
        <v>165.82</v>
      </c>
      <c r="Q2" s="7" t="s">
        <v>43</v>
      </c>
      <c r="R2" s="21" t="s">
        <v>37</v>
      </c>
      <c r="S2" s="17">
        <f t="shared" ref="S2:S17" ca="1" si="3">TODAY()</f>
        <v>45978</v>
      </c>
      <c r="V2" s="7" t="s">
        <v>15</v>
      </c>
      <c r="X2" s="7">
        <v>1000000</v>
      </c>
    </row>
    <row r="3" spans="1:24" ht="50.1" hidden="1" customHeight="1" x14ac:dyDescent="0.25">
      <c r="A3" s="7">
        <v>2</v>
      </c>
      <c r="B3" s="17">
        <v>45960</v>
      </c>
      <c r="C3" s="33" t="s">
        <v>5</v>
      </c>
      <c r="D3" s="20">
        <v>140033</v>
      </c>
      <c r="E3" s="20" t="s">
        <v>21</v>
      </c>
      <c r="F3" s="7">
        <v>5825</v>
      </c>
      <c r="G3" s="32">
        <v>6125</v>
      </c>
      <c r="H3" s="32"/>
      <c r="I3" s="7">
        <v>5855</v>
      </c>
      <c r="J3" s="7">
        <f t="shared" si="0"/>
        <v>17.079419299743808</v>
      </c>
      <c r="K3" s="7">
        <f>0.1*X2</f>
        <v>100000</v>
      </c>
      <c r="L3" s="7">
        <f t="shared" si="1"/>
        <v>4611.4432109308282</v>
      </c>
      <c r="M3" s="7">
        <f t="shared" si="2"/>
        <v>4.6114432109308288</v>
      </c>
      <c r="N3" s="7">
        <f>1.03*H3</f>
        <v>0</v>
      </c>
      <c r="O3" s="7">
        <f>1.03*I3</f>
        <v>6030.6500000000005</v>
      </c>
      <c r="P3" s="18">
        <v>45967</v>
      </c>
      <c r="Q3" s="7" t="s">
        <v>43</v>
      </c>
      <c r="R3" s="47" t="s">
        <v>87</v>
      </c>
      <c r="S3" s="17">
        <f t="shared" ca="1" si="3"/>
        <v>45978</v>
      </c>
    </row>
    <row r="4" spans="1:24" ht="50.1" hidden="1" customHeight="1" x14ac:dyDescent="0.25">
      <c r="A4" s="7">
        <v>3</v>
      </c>
      <c r="B4" s="17">
        <v>45960</v>
      </c>
      <c r="C4" s="22" t="s">
        <v>7</v>
      </c>
      <c r="D4" s="20">
        <v>177665</v>
      </c>
      <c r="E4" s="20" t="s">
        <v>21</v>
      </c>
      <c r="F4" s="20"/>
      <c r="G4" s="7">
        <v>1540.1</v>
      </c>
      <c r="I4" s="7">
        <v>1581.1</v>
      </c>
      <c r="J4" s="7">
        <f t="shared" si="0"/>
        <v>63.247106444880153</v>
      </c>
      <c r="K4" s="7">
        <f>0.1*X2</f>
        <v>100000</v>
      </c>
      <c r="L4" s="7">
        <f t="shared" si="1"/>
        <v>-2593.1313642400864</v>
      </c>
      <c r="M4" s="7">
        <f t="shared" si="2"/>
        <v>-2.5931313642400866</v>
      </c>
      <c r="N4" s="7">
        <v>1520</v>
      </c>
      <c r="O4">
        <v>1540.1</v>
      </c>
      <c r="P4" s="18">
        <v>45961</v>
      </c>
      <c r="Q4" s="7" t="s">
        <v>43</v>
      </c>
      <c r="R4" s="23" t="s">
        <v>30</v>
      </c>
      <c r="S4" s="17">
        <f t="shared" ca="1" si="3"/>
        <v>45978</v>
      </c>
    </row>
    <row r="5" spans="1:24" s="22" customFormat="1" hidden="1" x14ac:dyDescent="0.25">
      <c r="A5" s="22">
        <v>4</v>
      </c>
      <c r="B5" s="19">
        <v>45961</v>
      </c>
      <c r="C5" s="22" t="s">
        <v>39</v>
      </c>
      <c r="D5" s="27">
        <v>519937</v>
      </c>
      <c r="E5" s="27" t="s">
        <v>21</v>
      </c>
      <c r="F5" s="27">
        <v>3497</v>
      </c>
      <c r="G5" s="22">
        <v>3558.9</v>
      </c>
      <c r="I5" s="22">
        <v>3502</v>
      </c>
      <c r="J5" s="22">
        <f t="shared" si="0"/>
        <v>28.555111364934323</v>
      </c>
      <c r="K5" s="22">
        <v>100000</v>
      </c>
      <c r="L5" s="22">
        <f t="shared" si="1"/>
        <v>1624.7858366647656</v>
      </c>
      <c r="M5" s="22">
        <f t="shared" si="2"/>
        <v>1.6247858366647656</v>
      </c>
      <c r="O5" s="22">
        <v>3558.9</v>
      </c>
      <c r="P5" s="19">
        <v>45961</v>
      </c>
      <c r="Q5" s="22" t="s">
        <v>54</v>
      </c>
      <c r="R5" s="22" t="s">
        <v>44</v>
      </c>
      <c r="S5" s="19">
        <f t="shared" ca="1" si="3"/>
        <v>45978</v>
      </c>
    </row>
    <row r="6" spans="1:24" customFormat="1" hidden="1" x14ac:dyDescent="0.25">
      <c r="A6">
        <v>5</v>
      </c>
      <c r="B6" s="2">
        <v>45961</v>
      </c>
      <c r="C6" s="5" t="s">
        <v>7</v>
      </c>
      <c r="D6" s="20">
        <v>177665</v>
      </c>
      <c r="E6" s="20" t="s">
        <v>41</v>
      </c>
      <c r="F6" s="4"/>
      <c r="G6">
        <v>1540.1</v>
      </c>
      <c r="I6">
        <v>1581.1</v>
      </c>
      <c r="J6">
        <f t="shared" si="0"/>
        <v>63.247106444880153</v>
      </c>
      <c r="K6">
        <v>100000</v>
      </c>
      <c r="L6">
        <f t="shared" si="1"/>
        <v>-2593.1313642400864</v>
      </c>
      <c r="M6">
        <f t="shared" si="2"/>
        <v>-2.5931313642400866</v>
      </c>
      <c r="N6">
        <v>1520</v>
      </c>
      <c r="Q6" t="s">
        <v>43</v>
      </c>
      <c r="R6" t="s">
        <v>42</v>
      </c>
      <c r="S6" s="2">
        <f t="shared" ca="1" si="3"/>
        <v>45978</v>
      </c>
    </row>
    <row r="7" spans="1:24" ht="60" hidden="1" x14ac:dyDescent="0.25">
      <c r="A7" s="7">
        <v>6</v>
      </c>
      <c r="B7" s="18">
        <v>45964</v>
      </c>
      <c r="C7" s="7" t="s">
        <v>47</v>
      </c>
      <c r="D7" s="24">
        <v>345089</v>
      </c>
      <c r="E7" s="7" t="s">
        <v>21</v>
      </c>
      <c r="F7" s="7">
        <v>5539</v>
      </c>
      <c r="G7" s="7">
        <v>5285</v>
      </c>
      <c r="I7" s="7">
        <v>5544</v>
      </c>
      <c r="J7" s="7">
        <f t="shared" si="0"/>
        <v>18.037518037518037</v>
      </c>
      <c r="K7" s="7">
        <v>100000</v>
      </c>
      <c r="L7">
        <f t="shared" si="1"/>
        <v>-4671.7171717171714</v>
      </c>
      <c r="M7" s="7">
        <f t="shared" si="2"/>
        <v>-4.6717171717171713</v>
      </c>
      <c r="O7" s="7">
        <v>5285</v>
      </c>
      <c r="P7" s="18">
        <v>45965</v>
      </c>
      <c r="Q7" s="7" t="s">
        <v>43</v>
      </c>
      <c r="R7" s="21" t="s">
        <v>76</v>
      </c>
      <c r="S7" s="2">
        <f t="shared" ca="1" si="3"/>
        <v>45978</v>
      </c>
    </row>
    <row r="8" spans="1:24" hidden="1" x14ac:dyDescent="0.25">
      <c r="A8" s="7">
        <v>7</v>
      </c>
      <c r="B8" s="19">
        <v>45961</v>
      </c>
      <c r="C8" s="22" t="s">
        <v>39</v>
      </c>
      <c r="D8" s="27">
        <v>519937</v>
      </c>
      <c r="E8" s="27" t="s">
        <v>41</v>
      </c>
      <c r="F8" s="27">
        <v>3497</v>
      </c>
      <c r="G8" s="22">
        <v>3556</v>
      </c>
      <c r="H8" s="22"/>
      <c r="I8" s="22">
        <v>3502</v>
      </c>
      <c r="J8" s="22">
        <f t="shared" si="0"/>
        <v>28.555111364934323</v>
      </c>
      <c r="K8" s="22">
        <v>100000</v>
      </c>
      <c r="L8" s="22">
        <f t="shared" si="1"/>
        <v>1541.9760137064534</v>
      </c>
      <c r="M8" s="22">
        <f t="shared" si="2"/>
        <v>1.5419760137064533</v>
      </c>
      <c r="N8" s="22"/>
      <c r="O8" s="22">
        <v>3558.9</v>
      </c>
      <c r="P8" s="19">
        <v>45961</v>
      </c>
      <c r="Q8" s="22" t="s">
        <v>54</v>
      </c>
      <c r="S8" s="19">
        <f t="shared" ca="1" si="3"/>
        <v>45978</v>
      </c>
    </row>
    <row r="9" spans="1:24" hidden="1" x14ac:dyDescent="0.25">
      <c r="A9" s="7">
        <v>8</v>
      </c>
      <c r="B9" s="18">
        <v>45964</v>
      </c>
      <c r="C9" t="s">
        <v>36</v>
      </c>
      <c r="D9" s="10">
        <v>197633</v>
      </c>
      <c r="E9" s="7" t="s">
        <v>21</v>
      </c>
      <c r="F9" s="7">
        <v>490.41</v>
      </c>
      <c r="G9" s="7">
        <v>502</v>
      </c>
      <c r="I9" s="7">
        <v>488.75</v>
      </c>
      <c r="J9" s="7">
        <f t="shared" ref="J9:J17" si="4">K9/I9</f>
        <v>204.60358056265986</v>
      </c>
      <c r="K9" s="7">
        <v>100000</v>
      </c>
      <c r="L9" s="7">
        <f t="shared" si="1"/>
        <v>2710.9974424552429</v>
      </c>
      <c r="M9" s="7">
        <f t="shared" si="2"/>
        <v>2.710997442455243</v>
      </c>
      <c r="O9" s="7">
        <v>500.8</v>
      </c>
      <c r="P9" s="18">
        <v>45964</v>
      </c>
      <c r="Q9" s="7" t="s">
        <v>43</v>
      </c>
      <c r="R9" s="7" t="s">
        <v>57</v>
      </c>
      <c r="S9" s="18">
        <f t="shared" ca="1" si="3"/>
        <v>45978</v>
      </c>
    </row>
    <row r="10" spans="1:24" ht="75" hidden="1" x14ac:dyDescent="0.25">
      <c r="A10" s="7">
        <v>9</v>
      </c>
      <c r="B10" s="18">
        <v>45964</v>
      </c>
      <c r="C10" t="s">
        <v>10</v>
      </c>
      <c r="D10" s="10">
        <v>5573121</v>
      </c>
      <c r="E10" s="7" t="s">
        <v>21</v>
      </c>
      <c r="F10" s="7">
        <v>2000</v>
      </c>
      <c r="G10" s="7">
        <v>2037</v>
      </c>
      <c r="I10" s="7">
        <v>2004.6</v>
      </c>
      <c r="J10" s="7">
        <f t="shared" si="4"/>
        <v>49.885263893045995</v>
      </c>
      <c r="K10" s="7">
        <v>100000</v>
      </c>
      <c r="L10" s="7">
        <f t="shared" si="1"/>
        <v>1616.2825501346947</v>
      </c>
      <c r="M10" s="7">
        <f t="shared" si="2"/>
        <v>1.6162825501346947</v>
      </c>
      <c r="O10" s="7">
        <v>2044.8</v>
      </c>
      <c r="P10" s="18">
        <v>45965</v>
      </c>
      <c r="Q10" s="7" t="s">
        <v>43</v>
      </c>
      <c r="R10" s="29" t="s">
        <v>74</v>
      </c>
      <c r="S10" s="18">
        <f t="shared" ca="1" si="3"/>
        <v>45978</v>
      </c>
    </row>
    <row r="11" spans="1:24" ht="120" hidden="1" x14ac:dyDescent="0.25">
      <c r="A11" s="7">
        <v>10</v>
      </c>
      <c r="B11" s="18">
        <v>45964</v>
      </c>
      <c r="C11" t="s">
        <v>36</v>
      </c>
      <c r="D11" s="10">
        <v>197633</v>
      </c>
      <c r="E11" s="7" t="s">
        <v>41</v>
      </c>
      <c r="F11" s="7">
        <v>490.41</v>
      </c>
      <c r="G11" s="7">
        <v>502</v>
      </c>
      <c r="I11" s="7">
        <v>488.75</v>
      </c>
      <c r="J11" s="7">
        <f t="shared" si="4"/>
        <v>204.60358056265986</v>
      </c>
      <c r="K11" s="7">
        <v>100000</v>
      </c>
      <c r="L11" s="7">
        <f t="shared" si="1"/>
        <v>2710.9974424552429</v>
      </c>
      <c r="M11" s="7">
        <f t="shared" si="2"/>
        <v>2.710997442455243</v>
      </c>
      <c r="O11" s="7">
        <v>500.8</v>
      </c>
      <c r="P11" s="18">
        <v>45964</v>
      </c>
      <c r="Q11" s="7" t="s">
        <v>43</v>
      </c>
      <c r="R11" s="29" t="s">
        <v>63</v>
      </c>
      <c r="S11" s="18">
        <f t="shared" ca="1" si="3"/>
        <v>45978</v>
      </c>
    </row>
    <row r="12" spans="1:24" hidden="1" x14ac:dyDescent="0.25">
      <c r="A12" s="7">
        <v>11</v>
      </c>
      <c r="B12" s="18">
        <v>45965</v>
      </c>
      <c r="C12" s="7" t="s">
        <v>47</v>
      </c>
      <c r="D12" s="24">
        <v>345089</v>
      </c>
      <c r="E12" s="7" t="s">
        <v>41</v>
      </c>
      <c r="F12" s="7">
        <v>5539</v>
      </c>
      <c r="G12" s="7">
        <v>5285</v>
      </c>
      <c r="I12" s="7">
        <v>5544</v>
      </c>
      <c r="J12" s="7">
        <f t="shared" si="4"/>
        <v>18.037518037518037</v>
      </c>
      <c r="K12" s="7">
        <v>100000</v>
      </c>
      <c r="L12" s="7">
        <f t="shared" si="1"/>
        <v>-4671.7171717171714</v>
      </c>
      <c r="M12" s="7">
        <f t="shared" si="2"/>
        <v>-4.6717171717171713</v>
      </c>
      <c r="Q12" s="7" t="s">
        <v>43</v>
      </c>
      <c r="S12" s="2">
        <f t="shared" ca="1" si="3"/>
        <v>45978</v>
      </c>
    </row>
    <row r="13" spans="1:24" ht="45" hidden="1" x14ac:dyDescent="0.25">
      <c r="A13" s="7">
        <v>12</v>
      </c>
      <c r="B13" s="18">
        <v>45965</v>
      </c>
      <c r="C13" s="22" t="s">
        <v>71</v>
      </c>
      <c r="D13" s="24">
        <v>5728513</v>
      </c>
      <c r="E13" s="7" t="s">
        <v>21</v>
      </c>
      <c r="F13" s="7">
        <v>1093</v>
      </c>
      <c r="G13" s="7">
        <v>1120</v>
      </c>
      <c r="I13" s="7">
        <v>1147</v>
      </c>
      <c r="J13" s="7">
        <f t="shared" si="4"/>
        <v>87.183958151700082</v>
      </c>
      <c r="K13" s="7">
        <v>100000</v>
      </c>
      <c r="L13" s="7">
        <f t="shared" si="1"/>
        <v>-2353.9668700959023</v>
      </c>
      <c r="M13" s="7">
        <f t="shared" si="2"/>
        <v>-2.3539668700959022</v>
      </c>
      <c r="N13" s="7">
        <f>1147*0.97</f>
        <v>1112.5899999999999</v>
      </c>
      <c r="Q13" s="7" t="s">
        <v>25</v>
      </c>
      <c r="R13" s="29" t="s">
        <v>217</v>
      </c>
      <c r="S13" s="18">
        <f t="shared" ca="1" si="3"/>
        <v>45978</v>
      </c>
    </row>
    <row r="14" spans="1:24" hidden="1" x14ac:dyDescent="0.25">
      <c r="A14" s="7">
        <v>13</v>
      </c>
      <c r="B14" s="18">
        <v>45965</v>
      </c>
      <c r="C14" s="31" t="s">
        <v>73</v>
      </c>
      <c r="D14" s="10">
        <v>548865</v>
      </c>
      <c r="E14" s="7" t="s">
        <v>21</v>
      </c>
      <c r="G14" s="7">
        <v>1431.35</v>
      </c>
      <c r="I14" s="7">
        <v>1532</v>
      </c>
      <c r="J14" s="7">
        <f t="shared" si="4"/>
        <v>65.274151436031332</v>
      </c>
      <c r="K14" s="7">
        <v>100000</v>
      </c>
      <c r="L14" s="7">
        <f t="shared" si="1"/>
        <v>-6569.8433420365591</v>
      </c>
      <c r="M14" s="7">
        <f t="shared" si="2"/>
        <v>-6.5698433420365596</v>
      </c>
      <c r="O14" s="7">
        <v>1431.35</v>
      </c>
      <c r="P14" s="18">
        <v>45967</v>
      </c>
      <c r="Q14" s="7" t="s">
        <v>43</v>
      </c>
      <c r="R14" s="28" t="s">
        <v>90</v>
      </c>
      <c r="S14" s="18">
        <f t="shared" ca="1" si="3"/>
        <v>45978</v>
      </c>
    </row>
    <row r="15" spans="1:24" hidden="1" x14ac:dyDescent="0.25">
      <c r="A15" s="7">
        <v>14</v>
      </c>
      <c r="B15" s="18">
        <v>45965</v>
      </c>
      <c r="C15" t="s">
        <v>10</v>
      </c>
      <c r="D15" s="10">
        <v>5573121</v>
      </c>
      <c r="E15" s="7" t="s">
        <v>41</v>
      </c>
      <c r="G15" s="7">
        <v>2044.8</v>
      </c>
      <c r="I15" s="7">
        <v>2004.6</v>
      </c>
      <c r="J15" s="7">
        <f t="shared" si="4"/>
        <v>49.885263893045995</v>
      </c>
      <c r="K15" s="7">
        <v>100000</v>
      </c>
      <c r="L15" s="7">
        <f t="shared" si="1"/>
        <v>2005.3876085004513</v>
      </c>
      <c r="M15" s="7">
        <f t="shared" si="2"/>
        <v>2.0053876085004512</v>
      </c>
      <c r="O15" s="7">
        <v>2044.8</v>
      </c>
      <c r="Q15" s="7" t="s">
        <v>43</v>
      </c>
      <c r="S15" s="18">
        <f t="shared" ca="1" si="3"/>
        <v>45978</v>
      </c>
    </row>
    <row r="16" spans="1:24" hidden="1" x14ac:dyDescent="0.25">
      <c r="A16" s="7">
        <v>15</v>
      </c>
      <c r="B16" s="18">
        <v>45965</v>
      </c>
      <c r="C16" s="22" t="s">
        <v>72</v>
      </c>
      <c r="D16">
        <v>2977281</v>
      </c>
      <c r="E16" s="7" t="s">
        <v>21</v>
      </c>
      <c r="F16" s="7">
        <v>330.4</v>
      </c>
      <c r="G16" s="7">
        <v>330.4</v>
      </c>
      <c r="I16" s="7">
        <v>330.05</v>
      </c>
      <c r="J16" s="7">
        <f t="shared" si="4"/>
        <v>302.98439630359036</v>
      </c>
      <c r="K16" s="7">
        <v>100000</v>
      </c>
      <c r="L16" s="7">
        <f t="shared" si="1"/>
        <v>106.04453870624629</v>
      </c>
      <c r="M16" s="7">
        <f t="shared" si="2"/>
        <v>0.10604453870624629</v>
      </c>
      <c r="N16" s="7">
        <v>323</v>
      </c>
      <c r="Q16" s="7" t="s">
        <v>25</v>
      </c>
      <c r="R16" s="28" t="s">
        <v>95</v>
      </c>
      <c r="S16" s="18">
        <f t="shared" ca="1" si="3"/>
        <v>45978</v>
      </c>
    </row>
    <row r="17" spans="1:19" hidden="1" x14ac:dyDescent="0.25">
      <c r="A17" s="7">
        <v>16</v>
      </c>
      <c r="B17" s="18">
        <v>45967</v>
      </c>
      <c r="C17" s="31" t="s">
        <v>73</v>
      </c>
      <c r="D17" s="10">
        <v>548865</v>
      </c>
      <c r="E17" s="7" t="s">
        <v>41</v>
      </c>
      <c r="G17" s="7">
        <v>1431.35</v>
      </c>
      <c r="I17" s="7">
        <v>1532</v>
      </c>
      <c r="J17" s="7">
        <f t="shared" si="4"/>
        <v>65.274151436031332</v>
      </c>
      <c r="K17" s="7">
        <v>100000</v>
      </c>
      <c r="L17" s="7">
        <f t="shared" si="1"/>
        <v>-6569.8433420365591</v>
      </c>
      <c r="M17" s="7">
        <f t="shared" si="2"/>
        <v>-6.5698433420365596</v>
      </c>
      <c r="O17" s="7">
        <v>1431.35</v>
      </c>
      <c r="Q17" s="7" t="s">
        <v>43</v>
      </c>
      <c r="R17" s="28" t="s">
        <v>90</v>
      </c>
      <c r="S17" s="18">
        <f t="shared" ca="1" si="3"/>
        <v>45978</v>
      </c>
    </row>
    <row r="18" spans="1:19" hidden="1" x14ac:dyDescent="0.25">
      <c r="A18" s="7">
        <v>17</v>
      </c>
      <c r="B18" s="17">
        <v>45967</v>
      </c>
      <c r="C18" s="33" t="s">
        <v>5</v>
      </c>
      <c r="D18" s="20">
        <v>140033</v>
      </c>
      <c r="E18" s="20" t="s">
        <v>41</v>
      </c>
      <c r="F18" s="7">
        <v>5825</v>
      </c>
      <c r="G18" s="32">
        <v>6030.65</v>
      </c>
      <c r="H18" s="32"/>
      <c r="I18" s="7">
        <v>5855</v>
      </c>
      <c r="J18" s="7">
        <f>K18/I18</f>
        <v>17.079419299743808</v>
      </c>
      <c r="K18" s="7">
        <v>100000</v>
      </c>
      <c r="L18" s="7">
        <f t="shared" si="1"/>
        <v>2999.9999999999936</v>
      </c>
      <c r="M18" s="7">
        <f t="shared" si="2"/>
        <v>2.9999999999999938</v>
      </c>
      <c r="N18" s="7">
        <f>1.03*H18</f>
        <v>0</v>
      </c>
      <c r="O18" s="7">
        <f>1.03*I18</f>
        <v>6030.6500000000005</v>
      </c>
      <c r="Q18" s="7" t="s">
        <v>43</v>
      </c>
    </row>
    <row r="19" spans="1:19" ht="75" hidden="1" x14ac:dyDescent="0.25">
      <c r="A19" s="7">
        <v>18</v>
      </c>
      <c r="B19" s="18">
        <v>45967</v>
      </c>
      <c r="C19" s="37" t="s">
        <v>80</v>
      </c>
      <c r="D19" s="38">
        <v>1076225</v>
      </c>
      <c r="E19" s="7" t="s">
        <v>21</v>
      </c>
      <c r="F19" s="7">
        <v>103.78</v>
      </c>
      <c r="G19" s="7">
        <v>104.7</v>
      </c>
      <c r="I19" s="7">
        <v>103.64</v>
      </c>
      <c r="J19" s="7">
        <f>K19/I19</f>
        <v>964.87842531840988</v>
      </c>
      <c r="K19" s="7">
        <v>100000</v>
      </c>
      <c r="L19" s="7">
        <f t="shared" si="1"/>
        <v>1022.7711308375167</v>
      </c>
      <c r="M19" s="7">
        <f t="shared" si="2"/>
        <v>1.0227711308375167</v>
      </c>
      <c r="N19" s="7">
        <f>0.98*G19</f>
        <v>102.60599999999999</v>
      </c>
      <c r="O19" s="7">
        <v>104.7</v>
      </c>
      <c r="P19" s="18">
        <v>45967</v>
      </c>
      <c r="Q19" s="7" t="s">
        <v>43</v>
      </c>
      <c r="R19" s="29" t="s">
        <v>93</v>
      </c>
    </row>
    <row r="20" spans="1:19" hidden="1" x14ac:dyDescent="0.25">
      <c r="A20" s="7">
        <v>19</v>
      </c>
      <c r="B20" s="18">
        <v>45967</v>
      </c>
      <c r="C20" s="37" t="s">
        <v>80</v>
      </c>
      <c r="D20" s="38">
        <v>1076225</v>
      </c>
      <c r="E20" s="7" t="s">
        <v>41</v>
      </c>
      <c r="F20" s="7">
        <v>103.78</v>
      </c>
      <c r="G20" s="7">
        <v>104.7</v>
      </c>
      <c r="I20" s="7">
        <v>103.64</v>
      </c>
      <c r="J20" s="7">
        <f>K20/I20</f>
        <v>964.87842531840988</v>
      </c>
      <c r="K20" s="7">
        <v>100000</v>
      </c>
      <c r="L20" s="7">
        <f t="shared" si="1"/>
        <v>1022.7711308375167</v>
      </c>
      <c r="M20" s="7">
        <f t="shared" si="2"/>
        <v>1.0227711308375167</v>
      </c>
      <c r="N20" s="7">
        <f>0.98*G20</f>
        <v>102.60599999999999</v>
      </c>
      <c r="O20" s="7">
        <v>104.7</v>
      </c>
      <c r="Q20" s="7" t="s">
        <v>43</v>
      </c>
      <c r="R20" s="48" t="s">
        <v>96</v>
      </c>
    </row>
    <row r="21" spans="1:19" s="22" customFormat="1" ht="105" x14ac:dyDescent="0.25">
      <c r="A21" s="22">
        <v>20</v>
      </c>
      <c r="B21" s="19">
        <v>45971</v>
      </c>
      <c r="C21" s="22" t="s">
        <v>129</v>
      </c>
      <c r="D21" s="27"/>
      <c r="E21" s="22" t="s">
        <v>21</v>
      </c>
      <c r="G21" s="22">
        <v>76.55</v>
      </c>
      <c r="I21" s="22">
        <v>76.33</v>
      </c>
      <c r="J21" s="22">
        <v>65</v>
      </c>
      <c r="K21" s="22">
        <f>I21*J21</f>
        <v>4961.45</v>
      </c>
      <c r="L21" s="22">
        <f>IF(Q21="open",(G21-I21)*J21,(O21-I21)*J21)</f>
        <v>51.999999999999815</v>
      </c>
      <c r="M21" s="22">
        <f t="shared" si="2"/>
        <v>1.0480807022140668</v>
      </c>
      <c r="O21" s="22">
        <v>77.13</v>
      </c>
      <c r="P21" s="19">
        <v>45973</v>
      </c>
      <c r="Q21" s="22" t="s">
        <v>43</v>
      </c>
      <c r="R21" s="59" t="s">
        <v>175</v>
      </c>
    </row>
    <row r="22" spans="1:19" x14ac:dyDescent="0.25">
      <c r="A22" s="7">
        <v>21</v>
      </c>
      <c r="B22" s="18">
        <v>45971</v>
      </c>
      <c r="C22" s="7" t="s">
        <v>130</v>
      </c>
      <c r="E22" s="7" t="s">
        <v>21</v>
      </c>
      <c r="F22" s="7">
        <v>3473</v>
      </c>
      <c r="G22" s="7">
        <v>3386.5</v>
      </c>
      <c r="I22" s="7">
        <v>3491</v>
      </c>
      <c r="J22" s="7">
        <v>2</v>
      </c>
      <c r="K22" s="7">
        <f t="shared" ref="K22:K28" si="5">I22*J22</f>
        <v>6982</v>
      </c>
      <c r="L22" s="22">
        <f t="shared" ref="L22:L30" si="6">IF(Q22="open",(G22-I22)*J22,(O22-I22)*J22)</f>
        <v>-62.199999999999818</v>
      </c>
      <c r="M22" s="7">
        <f t="shared" si="2"/>
        <v>-0.89086221712975966</v>
      </c>
      <c r="O22" s="7">
        <v>3459.9</v>
      </c>
      <c r="P22" s="18">
        <v>45973</v>
      </c>
      <c r="Q22" s="7" t="s">
        <v>43</v>
      </c>
      <c r="R22" s="28" t="s">
        <v>148</v>
      </c>
    </row>
    <row r="23" spans="1:19" ht="120" x14ac:dyDescent="0.25">
      <c r="A23" s="7">
        <v>22</v>
      </c>
      <c r="B23" s="18">
        <v>45971</v>
      </c>
      <c r="C23" s="32" t="s">
        <v>131</v>
      </c>
      <c r="E23" s="7" t="s">
        <v>21</v>
      </c>
      <c r="G23" s="7">
        <v>1376.8</v>
      </c>
      <c r="I23" s="7">
        <v>1359.8</v>
      </c>
      <c r="J23" s="7">
        <v>4</v>
      </c>
      <c r="K23" s="7">
        <f t="shared" si="5"/>
        <v>5439.2</v>
      </c>
      <c r="L23" s="22">
        <f t="shared" si="6"/>
        <v>68</v>
      </c>
      <c r="M23" s="7">
        <f t="shared" si="2"/>
        <v>1.2501838505662597</v>
      </c>
      <c r="Q23" s="7" t="s">
        <v>25</v>
      </c>
      <c r="R23" s="29" t="s">
        <v>218</v>
      </c>
    </row>
    <row r="24" spans="1:19" x14ac:dyDescent="0.25">
      <c r="A24" s="7">
        <v>23</v>
      </c>
      <c r="B24" s="18">
        <v>45971</v>
      </c>
      <c r="C24" s="7" t="s">
        <v>132</v>
      </c>
      <c r="E24" s="7" t="s">
        <v>21</v>
      </c>
      <c r="G24" s="7">
        <v>1323</v>
      </c>
      <c r="I24" s="7">
        <v>1350.4</v>
      </c>
      <c r="J24" s="7">
        <v>4</v>
      </c>
      <c r="K24" s="7">
        <f t="shared" si="5"/>
        <v>5401.6</v>
      </c>
      <c r="L24" s="22">
        <f t="shared" si="6"/>
        <v>-31.200000000000728</v>
      </c>
      <c r="M24" s="7">
        <f t="shared" si="2"/>
        <v>-0.57760663507110344</v>
      </c>
      <c r="O24" s="7">
        <v>1342.6</v>
      </c>
      <c r="P24" s="18">
        <v>45971</v>
      </c>
      <c r="Q24" s="7" t="s">
        <v>43</v>
      </c>
    </row>
    <row r="25" spans="1:19" hidden="1" x14ac:dyDescent="0.25">
      <c r="A25" s="7">
        <v>24</v>
      </c>
      <c r="B25" s="18">
        <v>45971</v>
      </c>
      <c r="C25" s="7" t="s">
        <v>132</v>
      </c>
      <c r="E25" s="7" t="s">
        <v>41</v>
      </c>
      <c r="G25" s="7">
        <v>1337</v>
      </c>
      <c r="I25" s="7">
        <v>1342.6</v>
      </c>
      <c r="J25" s="7">
        <v>4</v>
      </c>
      <c r="K25" s="7">
        <f t="shared" si="5"/>
        <v>5370.4</v>
      </c>
      <c r="L25" s="22">
        <f t="shared" si="6"/>
        <v>0</v>
      </c>
      <c r="M25" s="7">
        <f t="shared" si="2"/>
        <v>0</v>
      </c>
      <c r="O25" s="7">
        <v>1342.6</v>
      </c>
      <c r="Q25" s="7" t="s">
        <v>43</v>
      </c>
    </row>
    <row r="26" spans="1:19" x14ac:dyDescent="0.25">
      <c r="A26" s="7">
        <v>25</v>
      </c>
      <c r="B26" s="18">
        <v>45972</v>
      </c>
      <c r="C26" s="7" t="s">
        <v>141</v>
      </c>
      <c r="E26" s="7" t="s">
        <v>21</v>
      </c>
      <c r="G26" s="7">
        <v>98.5</v>
      </c>
      <c r="I26" s="7">
        <v>97.85</v>
      </c>
      <c r="J26" s="7">
        <v>50</v>
      </c>
      <c r="K26" s="7">
        <f t="shared" si="5"/>
        <v>4892.5</v>
      </c>
      <c r="L26" s="22">
        <f t="shared" si="6"/>
        <v>32.500000000000284</v>
      </c>
      <c r="M26" s="7">
        <f t="shared" si="2"/>
        <v>0.6642820643842674</v>
      </c>
      <c r="O26" s="7">
        <v>98.5</v>
      </c>
      <c r="P26" s="18">
        <v>45973</v>
      </c>
      <c r="Q26" s="7" t="s">
        <v>43</v>
      </c>
      <c r="R26" s="28" t="s">
        <v>150</v>
      </c>
    </row>
    <row r="27" spans="1:19" x14ac:dyDescent="0.25">
      <c r="A27" s="7">
        <v>26</v>
      </c>
      <c r="B27" s="18">
        <v>45972</v>
      </c>
      <c r="C27" s="7" t="s">
        <v>146</v>
      </c>
      <c r="E27" s="7" t="s">
        <v>21</v>
      </c>
      <c r="G27" s="7">
        <v>720.8</v>
      </c>
      <c r="I27" s="7">
        <v>696.7</v>
      </c>
      <c r="J27" s="7">
        <v>7</v>
      </c>
      <c r="K27" s="7">
        <f t="shared" si="5"/>
        <v>4876.9000000000005</v>
      </c>
      <c r="L27" s="22">
        <f t="shared" si="6"/>
        <v>65.099999999999682</v>
      </c>
      <c r="M27" s="7">
        <f t="shared" si="2"/>
        <v>1.3348643605569044</v>
      </c>
      <c r="O27" s="7">
        <v>706</v>
      </c>
      <c r="P27" s="18">
        <v>45973</v>
      </c>
      <c r="Q27" s="7" t="s">
        <v>43</v>
      </c>
    </row>
    <row r="28" spans="1:19" x14ac:dyDescent="0.25">
      <c r="A28" s="7">
        <v>27</v>
      </c>
      <c r="B28" s="18">
        <v>45972</v>
      </c>
      <c r="C28" s="32" t="s">
        <v>145</v>
      </c>
      <c r="E28" s="7" t="s">
        <v>21</v>
      </c>
      <c r="G28" s="7">
        <v>407.5</v>
      </c>
      <c r="I28" s="7">
        <v>406.7</v>
      </c>
      <c r="J28" s="7">
        <v>12</v>
      </c>
      <c r="K28" s="7">
        <f t="shared" si="5"/>
        <v>4880.3999999999996</v>
      </c>
      <c r="L28" s="22">
        <f t="shared" si="6"/>
        <v>9.6000000000001364</v>
      </c>
      <c r="M28" s="7">
        <f t="shared" si="2"/>
        <v>0.19670518809933893</v>
      </c>
      <c r="Q28" s="7" t="s">
        <v>25</v>
      </c>
      <c r="R28" s="28" t="s">
        <v>219</v>
      </c>
    </row>
    <row r="29" spans="1:19" hidden="1" x14ac:dyDescent="0.25">
      <c r="A29" s="7">
        <v>28</v>
      </c>
      <c r="B29" s="18">
        <v>45973</v>
      </c>
      <c r="C29" s="7" t="s">
        <v>146</v>
      </c>
      <c r="E29" s="7" t="s">
        <v>41</v>
      </c>
      <c r="G29" s="7">
        <v>706</v>
      </c>
      <c r="I29" s="7">
        <v>696.7</v>
      </c>
      <c r="J29" s="7">
        <v>7</v>
      </c>
      <c r="K29" s="7">
        <f t="shared" ref="K29:K33" si="7">I29*J29</f>
        <v>4876.9000000000005</v>
      </c>
      <c r="L29" s="22">
        <f t="shared" si="6"/>
        <v>65.099999999999682</v>
      </c>
      <c r="M29" s="7">
        <f t="shared" ref="M29" si="8">L29*100/(I29*J29)</f>
        <v>1.3348643605569044</v>
      </c>
      <c r="O29" s="7">
        <v>706</v>
      </c>
      <c r="Q29" s="7" t="s">
        <v>43</v>
      </c>
    </row>
    <row r="30" spans="1:19" x14ac:dyDescent="0.25">
      <c r="A30" s="7">
        <v>29</v>
      </c>
      <c r="B30" s="18">
        <v>45973</v>
      </c>
      <c r="C30" s="32" t="s">
        <v>163</v>
      </c>
      <c r="E30" s="7" t="s">
        <v>21</v>
      </c>
      <c r="G30" s="7">
        <v>4400</v>
      </c>
      <c r="I30" s="7">
        <v>4372.1000000000004</v>
      </c>
      <c r="J30" s="7">
        <v>1</v>
      </c>
      <c r="K30" s="7">
        <f t="shared" si="7"/>
        <v>4372.1000000000004</v>
      </c>
      <c r="L30" s="22">
        <f t="shared" si="6"/>
        <v>27.899999999999636</v>
      </c>
      <c r="M30" s="7">
        <f t="shared" ref="M30:M32" si="9">L30*100/(I30*J30)</f>
        <v>0.63813727956816257</v>
      </c>
      <c r="O30" s="7">
        <v>4400</v>
      </c>
      <c r="P30" s="18">
        <v>43056</v>
      </c>
      <c r="Q30" s="7" t="s">
        <v>43</v>
      </c>
      <c r="R30" s="28" t="s">
        <v>178</v>
      </c>
    </row>
    <row r="31" spans="1:19" hidden="1" x14ac:dyDescent="0.25">
      <c r="A31" s="7">
        <v>30</v>
      </c>
      <c r="B31" s="18">
        <v>45973</v>
      </c>
      <c r="C31" s="7" t="s">
        <v>141</v>
      </c>
      <c r="E31" s="7" t="s">
        <v>41</v>
      </c>
      <c r="G31" s="7">
        <v>98.5</v>
      </c>
      <c r="I31" s="7">
        <v>97.85</v>
      </c>
      <c r="J31" s="7">
        <v>50</v>
      </c>
      <c r="K31" s="7">
        <f t="shared" si="7"/>
        <v>4892.5</v>
      </c>
      <c r="L31" s="7">
        <f t="shared" ref="L31:L37" si="10">(G31-I31)*J31</f>
        <v>32.500000000000284</v>
      </c>
      <c r="M31" s="7">
        <f t="shared" si="9"/>
        <v>0.6642820643842674</v>
      </c>
      <c r="O31" s="7">
        <v>98.5</v>
      </c>
      <c r="Q31" s="7" t="s">
        <v>43</v>
      </c>
      <c r="R31" s="28" t="s">
        <v>164</v>
      </c>
    </row>
    <row r="32" spans="1:19" hidden="1" x14ac:dyDescent="0.25">
      <c r="A32" s="7">
        <v>31</v>
      </c>
      <c r="B32" s="18">
        <v>45973</v>
      </c>
      <c r="C32" s="7" t="s">
        <v>130</v>
      </c>
      <c r="E32" s="7" t="s">
        <v>41</v>
      </c>
      <c r="F32" s="7">
        <v>3473</v>
      </c>
      <c r="G32" s="7">
        <v>3459.9</v>
      </c>
      <c r="I32" s="7">
        <v>3491</v>
      </c>
      <c r="J32" s="7">
        <v>2</v>
      </c>
      <c r="K32" s="7">
        <f t="shared" si="7"/>
        <v>6982</v>
      </c>
      <c r="L32" s="7">
        <f t="shared" si="10"/>
        <v>-62.199999999999818</v>
      </c>
      <c r="M32" s="7">
        <f t="shared" si="9"/>
        <v>-0.89086221712975966</v>
      </c>
      <c r="O32" s="7">
        <v>3459.9</v>
      </c>
      <c r="Q32" s="7" t="s">
        <v>43</v>
      </c>
      <c r="R32" s="28" t="s">
        <v>166</v>
      </c>
    </row>
    <row r="33" spans="1:18" x14ac:dyDescent="0.25">
      <c r="A33" s="7">
        <v>32</v>
      </c>
      <c r="B33" s="18">
        <v>45973</v>
      </c>
      <c r="C33" s="32" t="s">
        <v>167</v>
      </c>
      <c r="E33" s="7" t="s">
        <v>21</v>
      </c>
      <c r="G33" s="7">
        <v>210.6</v>
      </c>
      <c r="I33" s="7">
        <v>209.19</v>
      </c>
      <c r="J33" s="7">
        <v>23</v>
      </c>
      <c r="K33" s="7">
        <f t="shared" si="7"/>
        <v>4811.37</v>
      </c>
      <c r="L33" s="7">
        <f t="shared" si="10"/>
        <v>32.429999999999922</v>
      </c>
      <c r="M33" s="7">
        <f t="shared" ref="M33" si="11">L33*100/(I33*J33)</f>
        <v>0.67402839523877656</v>
      </c>
      <c r="Q33" s="7" t="s">
        <v>25</v>
      </c>
      <c r="R33" s="28" t="s">
        <v>177</v>
      </c>
    </row>
    <row r="34" spans="1:18" s="22" customFormat="1" hidden="1" x14ac:dyDescent="0.25">
      <c r="A34" s="22">
        <v>33</v>
      </c>
      <c r="B34" s="18">
        <v>45973</v>
      </c>
      <c r="C34" s="22" t="s">
        <v>129</v>
      </c>
      <c r="D34" s="27"/>
      <c r="E34" s="22" t="s">
        <v>41</v>
      </c>
      <c r="G34" s="22">
        <v>77.13</v>
      </c>
      <c r="I34" s="22">
        <v>76.33</v>
      </c>
      <c r="J34" s="22">
        <v>65</v>
      </c>
      <c r="K34" s="22">
        <f>I34*J34</f>
        <v>4961.45</v>
      </c>
      <c r="L34" s="7">
        <f t="shared" si="10"/>
        <v>51.999999999999815</v>
      </c>
      <c r="M34" s="22">
        <f t="shared" ref="M34:M37" si="12">L34*100/(I34*J34)</f>
        <v>1.0480807022140668</v>
      </c>
      <c r="O34" s="22">
        <v>77.13</v>
      </c>
      <c r="Q34" s="22" t="s">
        <v>43</v>
      </c>
      <c r="R34" s="57" t="s">
        <v>168</v>
      </c>
    </row>
    <row r="35" spans="1:18" hidden="1" x14ac:dyDescent="0.25">
      <c r="A35" s="7">
        <v>34</v>
      </c>
      <c r="B35" s="18">
        <v>45975</v>
      </c>
      <c r="C35" s="7" t="s">
        <v>181</v>
      </c>
      <c r="E35" s="7" t="s">
        <v>41</v>
      </c>
      <c r="G35" s="7">
        <v>6535</v>
      </c>
      <c r="I35" s="7">
        <v>6500.5</v>
      </c>
      <c r="J35" s="7">
        <v>1</v>
      </c>
      <c r="K35" s="7">
        <f>I35*J35</f>
        <v>6500.5</v>
      </c>
      <c r="L35" s="7">
        <f t="shared" si="10"/>
        <v>34.5</v>
      </c>
      <c r="M35" s="7">
        <f t="shared" si="12"/>
        <v>0.53072840550726863</v>
      </c>
      <c r="O35" s="7">
        <v>6535</v>
      </c>
      <c r="Q35" s="7" t="s">
        <v>43</v>
      </c>
    </row>
    <row r="36" spans="1:18" x14ac:dyDescent="0.25">
      <c r="A36" s="7">
        <v>35</v>
      </c>
      <c r="B36" s="18">
        <v>45978</v>
      </c>
      <c r="C36" s="7" t="s">
        <v>208</v>
      </c>
      <c r="E36" s="7" t="s">
        <v>21</v>
      </c>
      <c r="G36" s="7">
        <v>377.6</v>
      </c>
      <c r="I36" s="7">
        <v>378.45</v>
      </c>
      <c r="J36" s="7">
        <v>12</v>
      </c>
      <c r="K36" s="7">
        <f>I36*J36</f>
        <v>4541.3999999999996</v>
      </c>
      <c r="L36" s="7">
        <f t="shared" ref="L36:L37" si="13">(G36-I36)*J36</f>
        <v>-10.199999999999591</v>
      </c>
      <c r="M36" s="7">
        <f t="shared" ref="M36:M38" si="14">L36*100/(I36*J36)</f>
        <v>-0.22460034350639871</v>
      </c>
      <c r="Q36" s="7" t="s">
        <v>25</v>
      </c>
    </row>
    <row r="37" spans="1:18" x14ac:dyDescent="0.25">
      <c r="A37" s="7">
        <v>36</v>
      </c>
      <c r="B37" s="18">
        <v>45978</v>
      </c>
      <c r="C37" s="7" t="s">
        <v>209</v>
      </c>
      <c r="E37" s="7" t="s">
        <v>21</v>
      </c>
      <c r="G37" s="7">
        <v>7492.5</v>
      </c>
      <c r="I37" s="7">
        <v>7450</v>
      </c>
      <c r="J37" s="7">
        <v>1</v>
      </c>
      <c r="K37" s="7">
        <f>I37*J37</f>
        <v>7450</v>
      </c>
      <c r="L37" s="7">
        <f t="shared" si="13"/>
        <v>42.5</v>
      </c>
      <c r="M37" s="7">
        <f t="shared" si="14"/>
        <v>0.57046979865771807</v>
      </c>
      <c r="Q37" s="7" t="s">
        <v>25</v>
      </c>
    </row>
    <row r="38" spans="1:18" hidden="1" x14ac:dyDescent="0.25">
      <c r="A38" s="7">
        <v>37</v>
      </c>
      <c r="B38" s="18">
        <v>45978</v>
      </c>
      <c r="C38" s="32" t="s">
        <v>163</v>
      </c>
      <c r="E38" s="7" t="s">
        <v>41</v>
      </c>
      <c r="G38" s="7">
        <v>4400</v>
      </c>
      <c r="I38" s="7">
        <v>4372.1000000000004</v>
      </c>
      <c r="J38" s="7">
        <v>1</v>
      </c>
      <c r="K38" s="7">
        <f t="shared" ref="K38:K39" si="15">I38*J38</f>
        <v>4372.1000000000004</v>
      </c>
      <c r="L38" s="22">
        <f t="shared" ref="L38" si="16">IF(Q38="open",(G38-I38)*J38,(O38-I38)*J38)</f>
        <v>27.899999999999636</v>
      </c>
      <c r="M38" s="7">
        <f t="shared" si="14"/>
        <v>0.63813727956816257</v>
      </c>
      <c r="O38" s="7">
        <v>4400</v>
      </c>
      <c r="Q38" s="7" t="s">
        <v>43</v>
      </c>
    </row>
    <row r="39" spans="1:18" x14ac:dyDescent="0.25">
      <c r="A39" s="7">
        <v>37</v>
      </c>
      <c r="B39" s="18">
        <v>45978</v>
      </c>
      <c r="C39" s="7" t="s">
        <v>216</v>
      </c>
      <c r="E39" s="7" t="s">
        <v>21</v>
      </c>
      <c r="G39" s="7">
        <v>461.74</v>
      </c>
      <c r="I39" s="7">
        <v>461.7</v>
      </c>
      <c r="J39" s="7">
        <v>100</v>
      </c>
      <c r="K39" s="7">
        <f t="shared" si="15"/>
        <v>46170</v>
      </c>
      <c r="L39" s="22">
        <f>IF(Q39="open",(G39-I39)*J39,(O39-I39)*J39)</f>
        <v>4.0000000000020464</v>
      </c>
      <c r="M39" s="7">
        <f t="shared" ref="M39:M40" si="17">L39*100/(I39*J39)</f>
        <v>8.663634394632979E-3</v>
      </c>
      <c r="Q39" s="7" t="s">
        <v>25</v>
      </c>
    </row>
    <row r="40" spans="1:18" hidden="1" x14ac:dyDescent="0.25">
      <c r="A40" s="7">
        <v>38</v>
      </c>
      <c r="B40" s="18">
        <v>45978</v>
      </c>
      <c r="C40" s="7" t="s">
        <v>181</v>
      </c>
      <c r="E40" s="7" t="s">
        <v>41</v>
      </c>
      <c r="G40" s="7">
        <v>6535</v>
      </c>
      <c r="I40" s="7">
        <v>6500.5</v>
      </c>
      <c r="J40" s="7">
        <v>1</v>
      </c>
      <c r="K40" s="7">
        <f>I40*J40</f>
        <v>6500.5</v>
      </c>
      <c r="L40" s="7">
        <f t="shared" ref="L40" si="18">(G40-I40)*J40</f>
        <v>34.5</v>
      </c>
      <c r="M40" s="7">
        <f t="shared" si="17"/>
        <v>0.53072840550726863</v>
      </c>
      <c r="O40" s="7">
        <v>6535</v>
      </c>
      <c r="Q40" s="7" t="s">
        <v>43</v>
      </c>
    </row>
    <row r="41" spans="1:18" hidden="1" x14ac:dyDescent="0.25">
      <c r="A41" s="7">
        <v>39</v>
      </c>
    </row>
  </sheetData>
  <autoFilter ref="A1:X41">
    <filterColumn colId="1">
      <filters>
        <dateGroupItem year="2025" month="11" day="10" dateTimeGrouping="day"/>
        <dateGroupItem year="2025" month="11" day="11" dateTimeGrouping="day"/>
        <dateGroupItem year="2025" month="11" day="12" dateTimeGrouping="day"/>
        <dateGroupItem year="2025" month="11" day="14" dateTimeGrouping="day"/>
        <dateGroupItem year="2025" month="11" day="17" dateTimeGrouping="day"/>
      </filters>
    </filterColumn>
    <filterColumn colId="4">
      <filters>
        <filter val="buy"/>
      </filters>
    </filterColumn>
  </autoFilter>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B39"/>
  <sheetViews>
    <sheetView topLeftCell="A16" workbookViewId="0">
      <selection activeCell="H29" sqref="H29:T29"/>
    </sheetView>
  </sheetViews>
  <sheetFormatPr defaultRowHeight="15" x14ac:dyDescent="0.25"/>
  <sheetData>
    <row r="2" spans="1:28" x14ac:dyDescent="0.25">
      <c r="A2" s="27" t="s">
        <v>13</v>
      </c>
      <c r="B2" s="27">
        <v>951809</v>
      </c>
      <c r="C2" t="s">
        <v>111</v>
      </c>
      <c r="D2" t="str">
        <f>CONCATENATE(B2,C2)</f>
        <v>951809,</v>
      </c>
    </row>
    <row r="3" spans="1:28" x14ac:dyDescent="0.25">
      <c r="A3" s="27" t="s">
        <v>31</v>
      </c>
      <c r="B3" s="27">
        <v>5728513</v>
      </c>
      <c r="C3" t="s">
        <v>111</v>
      </c>
      <c r="D3" t="str">
        <f t="shared" ref="D3:D21" si="0">CONCATENATE(B3,C3)</f>
        <v>5728513,</v>
      </c>
    </row>
    <row r="4" spans="1:28" x14ac:dyDescent="0.25">
      <c r="A4" s="27" t="s">
        <v>33</v>
      </c>
      <c r="B4" s="27">
        <v>7488257</v>
      </c>
      <c r="C4" t="s">
        <v>111</v>
      </c>
      <c r="D4" t="str">
        <f t="shared" si="0"/>
        <v>7488257,</v>
      </c>
    </row>
    <row r="5" spans="1:28" x14ac:dyDescent="0.25">
      <c r="A5" s="27" t="s">
        <v>69</v>
      </c>
      <c r="B5" s="27">
        <v>5633</v>
      </c>
      <c r="C5" t="s">
        <v>111</v>
      </c>
      <c r="D5" t="str">
        <f t="shared" si="0"/>
        <v>5633,</v>
      </c>
    </row>
    <row r="6" spans="1:28" x14ac:dyDescent="0.25">
      <c r="A6" s="27" t="s">
        <v>50</v>
      </c>
      <c r="B6" s="27">
        <v>3329</v>
      </c>
      <c r="C6" t="s">
        <v>111</v>
      </c>
      <c r="D6" t="str">
        <f t="shared" si="0"/>
        <v>3329,</v>
      </c>
    </row>
    <row r="7" spans="1:28" x14ac:dyDescent="0.25">
      <c r="A7" s="27" t="s">
        <v>97</v>
      </c>
      <c r="B7" s="27">
        <v>3660545</v>
      </c>
      <c r="C7" t="s">
        <v>111</v>
      </c>
      <c r="D7" t="str">
        <f t="shared" si="0"/>
        <v>3660545,</v>
      </c>
    </row>
    <row r="8" spans="1:28" x14ac:dyDescent="0.25">
      <c r="A8" s="27" t="s">
        <v>102</v>
      </c>
      <c r="B8" s="54">
        <v>40193</v>
      </c>
      <c r="C8" t="s">
        <v>111</v>
      </c>
      <c r="D8" t="str">
        <f t="shared" si="0"/>
        <v>40193,</v>
      </c>
    </row>
    <row r="9" spans="1:28" x14ac:dyDescent="0.25">
      <c r="A9" s="27" t="s">
        <v>103</v>
      </c>
      <c r="B9" s="10">
        <v>502785</v>
      </c>
      <c r="C9" t="s">
        <v>111</v>
      </c>
      <c r="D9" t="str">
        <f t="shared" si="0"/>
        <v>502785,</v>
      </c>
    </row>
    <row r="10" spans="1:28" x14ac:dyDescent="0.25">
      <c r="A10" s="27" t="s">
        <v>105</v>
      </c>
      <c r="B10" s="24">
        <v>4843777</v>
      </c>
      <c r="C10" t="s">
        <v>111</v>
      </c>
      <c r="D10" t="str">
        <f t="shared" si="0"/>
        <v>4843777,</v>
      </c>
    </row>
    <row r="11" spans="1:28" x14ac:dyDescent="0.25">
      <c r="A11" s="27" t="s">
        <v>107</v>
      </c>
      <c r="B11" s="24">
        <v>424961</v>
      </c>
      <c r="C11" t="s">
        <v>111</v>
      </c>
      <c r="D11" t="str">
        <f t="shared" si="0"/>
        <v>424961,</v>
      </c>
    </row>
    <row r="12" spans="1:28" x14ac:dyDescent="0.25">
      <c r="A12" s="27" t="s">
        <v>108</v>
      </c>
      <c r="B12" s="24">
        <v>5436929</v>
      </c>
      <c r="C12" t="s">
        <v>111</v>
      </c>
      <c r="D12" t="str">
        <f t="shared" si="0"/>
        <v>5436929,</v>
      </c>
    </row>
    <row r="13" spans="1:28" x14ac:dyDescent="0.25">
      <c r="A13" s="27" t="s">
        <v>110</v>
      </c>
      <c r="B13">
        <v>3735553</v>
      </c>
      <c r="C13" t="s">
        <v>111</v>
      </c>
      <c r="D13" t="str">
        <f t="shared" si="0"/>
        <v>3735553,</v>
      </c>
    </row>
    <row r="14" spans="1:28" x14ac:dyDescent="0.25">
      <c r="A14" s="27" t="s">
        <v>61</v>
      </c>
      <c r="B14">
        <v>4644609</v>
      </c>
      <c r="C14" t="s">
        <v>111</v>
      </c>
      <c r="D14" t="str">
        <f t="shared" si="0"/>
        <v>4644609,</v>
      </c>
      <c r="G14" t="s">
        <v>112</v>
      </c>
      <c r="H14" t="s">
        <v>113</v>
      </c>
      <c r="I14" t="s">
        <v>114</v>
      </c>
      <c r="J14" t="s">
        <v>156</v>
      </c>
      <c r="K14" t="s">
        <v>116</v>
      </c>
      <c r="L14" t="s">
        <v>117</v>
      </c>
      <c r="M14" t="s">
        <v>123</v>
      </c>
      <c r="N14" t="s">
        <v>124</v>
      </c>
      <c r="O14" t="s">
        <v>126</v>
      </c>
      <c r="P14" t="s">
        <v>127</v>
      </c>
      <c r="Q14" t="s">
        <v>128</v>
      </c>
      <c r="R14" t="s">
        <v>137</v>
      </c>
      <c r="S14" t="s">
        <v>138</v>
      </c>
      <c r="T14" t="s">
        <v>140</v>
      </c>
      <c r="U14" t="s">
        <v>115</v>
      </c>
      <c r="V14" t="s">
        <v>157</v>
      </c>
      <c r="W14" t="s">
        <v>158</v>
      </c>
      <c r="X14" t="s">
        <v>159</v>
      </c>
      <c r="Y14" t="s">
        <v>160</v>
      </c>
      <c r="Z14" t="s">
        <v>161</v>
      </c>
      <c r="AA14" t="s">
        <v>172</v>
      </c>
      <c r="AB14" t="s">
        <v>173</v>
      </c>
    </row>
    <row r="15" spans="1:28" x14ac:dyDescent="0.25">
      <c r="A15" s="27" t="s">
        <v>119</v>
      </c>
      <c r="B15">
        <v>2800641</v>
      </c>
      <c r="C15" t="s">
        <v>111</v>
      </c>
      <c r="D15" t="str">
        <f t="shared" si="0"/>
        <v>2800641,</v>
      </c>
    </row>
    <row r="16" spans="1:28" x14ac:dyDescent="0.25">
      <c r="A16" s="27" t="s">
        <v>60</v>
      </c>
      <c r="B16" s="24"/>
      <c r="C16" t="s">
        <v>111</v>
      </c>
      <c r="D16" t="str">
        <f t="shared" si="0"/>
        <v>,</v>
      </c>
    </row>
    <row r="17" spans="1:20" x14ac:dyDescent="0.25">
      <c r="A17" s="27" t="s">
        <v>120</v>
      </c>
      <c r="C17" t="s">
        <v>111</v>
      </c>
      <c r="D17" t="str">
        <f t="shared" si="0"/>
        <v>,</v>
      </c>
      <c r="G17" t="s">
        <v>113</v>
      </c>
      <c r="H17" t="s">
        <v>114</v>
      </c>
      <c r="I17" t="s">
        <v>156</v>
      </c>
      <c r="J17" t="s">
        <v>116</v>
      </c>
      <c r="K17" t="s">
        <v>123</v>
      </c>
      <c r="L17" t="s">
        <v>128</v>
      </c>
      <c r="M17" t="s">
        <v>137</v>
      </c>
      <c r="N17" t="s">
        <v>138</v>
      </c>
      <c r="O17" t="s">
        <v>140</v>
      </c>
      <c r="P17" t="s">
        <v>115</v>
      </c>
      <c r="Q17" t="s">
        <v>159</v>
      </c>
      <c r="R17" t="s">
        <v>160</v>
      </c>
      <c r="S17" t="s">
        <v>172</v>
      </c>
      <c r="T17" t="s">
        <v>173</v>
      </c>
    </row>
    <row r="18" spans="1:20" x14ac:dyDescent="0.25">
      <c r="A18" s="27" t="s">
        <v>121</v>
      </c>
      <c r="C18" t="s">
        <v>111</v>
      </c>
      <c r="D18" t="str">
        <f t="shared" si="0"/>
        <v>,</v>
      </c>
    </row>
    <row r="19" spans="1:20" x14ac:dyDescent="0.25">
      <c r="A19" s="27" t="s">
        <v>122</v>
      </c>
      <c r="B19" s="24"/>
      <c r="C19" t="s">
        <v>111</v>
      </c>
      <c r="D19" t="str">
        <f t="shared" si="0"/>
        <v>,</v>
      </c>
    </row>
    <row r="20" spans="1:20" x14ac:dyDescent="0.25">
      <c r="A20" s="24" t="s">
        <v>3</v>
      </c>
      <c r="C20" t="s">
        <v>111</v>
      </c>
      <c r="D20" t="str">
        <f t="shared" si="0"/>
        <v>,</v>
      </c>
    </row>
    <row r="21" spans="1:20" x14ac:dyDescent="0.25">
      <c r="A21" s="24" t="s">
        <v>133</v>
      </c>
      <c r="C21" t="s">
        <v>111</v>
      </c>
      <c r="D21" t="str">
        <f t="shared" si="0"/>
        <v>,</v>
      </c>
    </row>
    <row r="22" spans="1:20" x14ac:dyDescent="0.25">
      <c r="A22" t="s">
        <v>12</v>
      </c>
      <c r="C22" t="s">
        <v>111</v>
      </c>
      <c r="D22" t="str">
        <f>CONCATENATE(B22,C22)</f>
        <v>,</v>
      </c>
    </row>
    <row r="23" spans="1:20" x14ac:dyDescent="0.25">
      <c r="A23" s="24" t="s">
        <v>135</v>
      </c>
      <c r="C23" t="s">
        <v>111</v>
      </c>
      <c r="D23" t="str">
        <f>CONCATENATE(B23,C23)</f>
        <v>,</v>
      </c>
    </row>
    <row r="24" spans="1:20" x14ac:dyDescent="0.25">
      <c r="A24" s="24" t="s">
        <v>136</v>
      </c>
      <c r="C24" t="s">
        <v>111</v>
      </c>
      <c r="D24" t="str">
        <f>CONCATENATE(B24,C24)</f>
        <v>,</v>
      </c>
    </row>
    <row r="25" spans="1:20" x14ac:dyDescent="0.25">
      <c r="B25" s="27">
        <v>3660545</v>
      </c>
      <c r="C25" t="s">
        <v>111</v>
      </c>
      <c r="D25" t="str">
        <f t="shared" ref="D25:D37" si="1">CONCATENATE(B25,C25)</f>
        <v>3660545,</v>
      </c>
      <c r="H25" t="s">
        <v>125</v>
      </c>
      <c r="I25" t="s">
        <v>126</v>
      </c>
      <c r="J25" t="s">
        <v>127</v>
      </c>
      <c r="K25" t="s">
        <v>138</v>
      </c>
      <c r="L25" t="s">
        <v>139</v>
      </c>
      <c r="M25" t="s">
        <v>161</v>
      </c>
      <c r="N25" t="s">
        <v>172</v>
      </c>
      <c r="O25" t="s">
        <v>173</v>
      </c>
      <c r="P25" t="s">
        <v>159</v>
      </c>
    </row>
    <row r="26" spans="1:20" x14ac:dyDescent="0.25">
      <c r="B26" s="54">
        <v>40193</v>
      </c>
      <c r="C26" t="s">
        <v>111</v>
      </c>
      <c r="D26" t="str">
        <f t="shared" si="1"/>
        <v>40193,</v>
      </c>
    </row>
    <row r="27" spans="1:20" x14ac:dyDescent="0.25">
      <c r="B27" s="62">
        <v>502785</v>
      </c>
      <c r="C27" t="s">
        <v>111</v>
      </c>
      <c r="D27" t="str">
        <f t="shared" si="1"/>
        <v>502785,</v>
      </c>
      <c r="H27" t="str">
        <f t="shared" ref="H27:H39" si="2">CONCATENATE(F27,G27)</f>
        <v/>
      </c>
    </row>
    <row r="28" spans="1:20" x14ac:dyDescent="0.25">
      <c r="B28" s="24">
        <v>4843777</v>
      </c>
      <c r="C28" t="s">
        <v>111</v>
      </c>
      <c r="D28" t="str">
        <f t="shared" si="1"/>
        <v>4843777,</v>
      </c>
      <c r="H28" t="str">
        <f t="shared" si="2"/>
        <v/>
      </c>
    </row>
    <row r="29" spans="1:20" x14ac:dyDescent="0.25">
      <c r="B29" s="24">
        <v>424961</v>
      </c>
      <c r="C29" t="s">
        <v>111</v>
      </c>
      <c r="D29" t="str">
        <f t="shared" si="1"/>
        <v>424961,</v>
      </c>
      <c r="H29" t="s">
        <v>128</v>
      </c>
      <c r="I29" t="s">
        <v>137</v>
      </c>
      <c r="J29" t="s">
        <v>138</v>
      </c>
      <c r="K29" t="s">
        <v>140</v>
      </c>
      <c r="L29" t="s">
        <v>115</v>
      </c>
      <c r="M29" t="s">
        <v>159</v>
      </c>
      <c r="N29" t="s">
        <v>160</v>
      </c>
      <c r="O29" t="s">
        <v>172</v>
      </c>
      <c r="P29" t="s">
        <v>173</v>
      </c>
      <c r="Q29" t="s">
        <v>202</v>
      </c>
      <c r="R29" t="s">
        <v>203</v>
      </c>
      <c r="S29" t="s">
        <v>204</v>
      </c>
      <c r="T29" t="s">
        <v>205</v>
      </c>
    </row>
    <row r="30" spans="1:20" x14ac:dyDescent="0.25">
      <c r="B30" s="56">
        <v>5436929</v>
      </c>
      <c r="C30" t="s">
        <v>111</v>
      </c>
      <c r="D30" t="str">
        <f t="shared" si="1"/>
        <v>5436929,</v>
      </c>
      <c r="H30" t="str">
        <f t="shared" si="2"/>
        <v/>
      </c>
    </row>
    <row r="31" spans="1:20" x14ac:dyDescent="0.25">
      <c r="B31">
        <v>3735553</v>
      </c>
      <c r="C31" t="s">
        <v>111</v>
      </c>
      <c r="D31" t="str">
        <f t="shared" si="1"/>
        <v>3735553,</v>
      </c>
      <c r="H31" t="str">
        <f t="shared" si="2"/>
        <v/>
      </c>
    </row>
    <row r="32" spans="1:20" x14ac:dyDescent="0.25">
      <c r="B32" s="64">
        <v>4644609</v>
      </c>
      <c r="C32" t="s">
        <v>111</v>
      </c>
      <c r="D32" t="str">
        <f t="shared" si="1"/>
        <v>4644609,</v>
      </c>
      <c r="H32" t="str">
        <f t="shared" si="2"/>
        <v/>
      </c>
    </row>
    <row r="33" spans="2:8" x14ac:dyDescent="0.25">
      <c r="B33" s="64">
        <v>2800641</v>
      </c>
      <c r="C33" t="s">
        <v>111</v>
      </c>
      <c r="D33" t="str">
        <f t="shared" si="1"/>
        <v>2800641,</v>
      </c>
      <c r="H33" t="str">
        <f t="shared" si="2"/>
        <v/>
      </c>
    </row>
    <row r="34" spans="2:8" x14ac:dyDescent="0.25">
      <c r="B34">
        <v>860929</v>
      </c>
      <c r="C34" t="s">
        <v>111</v>
      </c>
      <c r="D34" t="str">
        <f t="shared" si="1"/>
        <v>860929,</v>
      </c>
      <c r="H34" t="str">
        <f t="shared" si="2"/>
        <v/>
      </c>
    </row>
    <row r="35" spans="2:8" x14ac:dyDescent="0.25">
      <c r="B35">
        <v>6191105</v>
      </c>
      <c r="C35" t="s">
        <v>111</v>
      </c>
      <c r="D35" t="str">
        <f t="shared" si="1"/>
        <v>6191105,</v>
      </c>
      <c r="H35" t="str">
        <f t="shared" si="2"/>
        <v/>
      </c>
    </row>
    <row r="36" spans="2:8" x14ac:dyDescent="0.25">
      <c r="B36">
        <v>3725313</v>
      </c>
      <c r="C36" t="s">
        <v>111</v>
      </c>
      <c r="D36" t="str">
        <f t="shared" si="1"/>
        <v>3725313,</v>
      </c>
      <c r="H36" t="str">
        <f t="shared" si="2"/>
        <v/>
      </c>
    </row>
    <row r="37" spans="2:8" x14ac:dyDescent="0.25">
      <c r="B37">
        <v>6599681</v>
      </c>
      <c r="C37" t="s">
        <v>111</v>
      </c>
      <c r="D37" t="str">
        <f t="shared" si="1"/>
        <v>6599681,</v>
      </c>
      <c r="H37" t="str">
        <f t="shared" si="2"/>
        <v/>
      </c>
    </row>
    <row r="38" spans="2:8" x14ac:dyDescent="0.25">
      <c r="H38" t="str">
        <f t="shared" si="2"/>
        <v/>
      </c>
    </row>
    <row r="39" spans="2:8" x14ac:dyDescent="0.25">
      <c r="H39" t="str">
        <f t="shared" si="2"/>
        <v/>
      </c>
    </row>
  </sheetData>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
  <sheetViews>
    <sheetView topLeftCell="A4" workbookViewId="0">
      <selection activeCell="Q12" sqref="Q12"/>
    </sheetView>
  </sheetViews>
  <sheetFormatPr defaultRowHeight="15" x14ac:dyDescent="0.25"/>
  <cols>
    <col min="2" max="2" width="14.7109375" bestFit="1" customWidth="1"/>
    <col min="4" max="4" width="14.42578125" customWidth="1"/>
  </cols>
  <sheetData>
    <row r="1" spans="1:17" x14ac:dyDescent="0.25">
      <c r="B1" t="s">
        <v>190</v>
      </c>
      <c r="C1" t="s">
        <v>182</v>
      </c>
      <c r="D1" t="s">
        <v>183</v>
      </c>
      <c r="E1" t="s">
        <v>184</v>
      </c>
      <c r="F1" t="s">
        <v>185</v>
      </c>
      <c r="G1" t="s">
        <v>186</v>
      </c>
      <c r="H1" t="s">
        <v>187</v>
      </c>
      <c r="I1" t="s">
        <v>188</v>
      </c>
      <c r="K1" t="s">
        <v>189</v>
      </c>
    </row>
    <row r="2" spans="1:17" x14ac:dyDescent="0.25">
      <c r="A2" t="s">
        <v>21</v>
      </c>
      <c r="B2">
        <v>6500.5</v>
      </c>
      <c r="C2">
        <v>0.01</v>
      </c>
      <c r="D2">
        <v>0.2</v>
      </c>
      <c r="E2">
        <v>0.04</v>
      </c>
      <c r="F2">
        <v>7</v>
      </c>
      <c r="G2">
        <v>0.01</v>
      </c>
      <c r="H2">
        <v>1</v>
      </c>
      <c r="I2">
        <v>6508.75</v>
      </c>
      <c r="K2">
        <f>(I2-B2)/B2*100</f>
        <v>0.12691331436043379</v>
      </c>
    </row>
    <row r="3" spans="1:17" x14ac:dyDescent="0.25">
      <c r="A3" t="s">
        <v>191</v>
      </c>
      <c r="B3">
        <v>14649.8</v>
      </c>
      <c r="C3">
        <v>0.01</v>
      </c>
      <c r="D3">
        <v>0.45</v>
      </c>
      <c r="E3">
        <v>0.09</v>
      </c>
      <c r="F3">
        <v>15</v>
      </c>
      <c r="G3">
        <v>0.01</v>
      </c>
      <c r="H3">
        <v>2</v>
      </c>
      <c r="I3">
        <v>14667.36</v>
      </c>
      <c r="K3">
        <f>(I3-B3)/B3*100</f>
        <v>0.11986511761253608</v>
      </c>
    </row>
    <row r="8" spans="1:17" x14ac:dyDescent="0.25">
      <c r="N8">
        <v>13807.93</v>
      </c>
      <c r="Q8">
        <v>26012</v>
      </c>
    </row>
    <row r="9" spans="1:17" x14ac:dyDescent="0.25">
      <c r="N9">
        <v>13774</v>
      </c>
      <c r="Q9">
        <v>25503</v>
      </c>
    </row>
    <row r="10" spans="1:17" x14ac:dyDescent="0.25">
      <c r="N10">
        <f>N8-N9</f>
        <v>33.930000000000291</v>
      </c>
      <c r="Q10">
        <f>Q8-Q9</f>
        <v>509</v>
      </c>
    </row>
    <row r="11" spans="1:17" x14ac:dyDescent="0.25">
      <c r="I11">
        <v>25503</v>
      </c>
      <c r="N11">
        <f>N10/N9</f>
        <v>2.4633367213591035E-3</v>
      </c>
      <c r="Q11">
        <f>Q10/Q9</f>
        <v>1.99584362624005E-2</v>
      </c>
    </row>
    <row r="12" spans="1:17" x14ac:dyDescent="0.25">
      <c r="I12">
        <v>25910.5</v>
      </c>
    </row>
    <row r="13" spans="1:17" x14ac:dyDescent="0.25">
      <c r="I13">
        <f>I12-I11</f>
        <v>407.5</v>
      </c>
    </row>
    <row r="15" spans="1:17" x14ac:dyDescent="0.25">
      <c r="I15">
        <f>I13/I11</f>
        <v>1.5978512331882525E-2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LEARNINGS</vt:lpstr>
      <vt:lpstr>Sheet1</vt:lpstr>
      <vt:lpstr>trade</vt:lpstr>
      <vt:lpstr>Sheet2</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2025-10-29T20:54:54Z</dcterms:created>
  <dcterms:modified xsi:type="dcterms:W3CDTF">2025-11-17T10:20:47Z</dcterms:modified>
</cp:coreProperties>
</file>